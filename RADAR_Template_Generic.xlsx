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README" sheetId="1" state="visible" r:id="rId1"/>
    <sheet xmlns:r="http://schemas.openxmlformats.org/officeDocument/2006/relationships" name="01_Input" sheetId="2" state="visible" r:id="rId2"/>
    <sheet xmlns:r="http://schemas.openxmlformats.org/officeDocument/2006/relationships" name="02_Enrichment" sheetId="3" state="visible" r:id="rId3"/>
    <sheet xmlns:r="http://schemas.openxmlformats.org/officeDocument/2006/relationships" name="03_Scoring" sheetId="4" state="visible" r:id="rId4"/>
    <sheet xmlns:r="http://schemas.openxmlformats.org/officeDocument/2006/relationships" name="04_Weekly_Summar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i val="1"/>
      <color rgb="FFAACCDD"/>
      <sz val="10"/>
    </font>
    <font>
      <name val="Arial"/>
      <charset val="1"/>
      <family val="0"/>
      <sz val="9"/>
    </font>
    <font>
      <name val="Arial"/>
      <charset val="1"/>
      <family val="0"/>
      <b val="1"/>
      <color rgb="FF0D2137"/>
      <sz val="11"/>
    </font>
    <font>
      <name val="Arial"/>
      <charset val="1"/>
      <family val="0"/>
      <b val="1"/>
      <color rgb="FF0D2137"/>
      <sz val="10"/>
    </font>
    <font>
      <name val="Arial"/>
      <charset val="1"/>
      <family val="0"/>
      <color rgb="FF333333"/>
      <sz val="10"/>
    </font>
    <font>
      <name val="Arial"/>
      <charset val="1"/>
      <family val="0"/>
      <b val="1"/>
      <color rgb="FF7D4E00"/>
      <sz val="11"/>
    </font>
    <font>
      <name val="Arial"/>
      <charset val="1"/>
      <family val="0"/>
      <b val="1"/>
      <color rgb="FF7D4E00"/>
      <sz val="10"/>
    </font>
    <font>
      <name val="Arial"/>
      <charset val="1"/>
      <family val="0"/>
      <color rgb="FF7D4E00"/>
      <sz val="10"/>
    </font>
    <font>
      <name val="Arial"/>
      <charset val="1"/>
      <family val="0"/>
      <i val="1"/>
      <color rgb="FF7D4E00"/>
      <sz val="10"/>
    </font>
    <font>
      <name val="Arial"/>
      <charset val="1"/>
      <family val="0"/>
      <b val="1"/>
      <color rgb="FFFFFFFF"/>
      <sz val="10"/>
    </font>
    <font>
      <name val="Arial"/>
      <charset val="1"/>
      <family val="0"/>
      <i val="1"/>
      <color rgb="FF8C8C8C"/>
      <sz val="10"/>
    </font>
    <font>
      <name val="Arial"/>
      <charset val="1"/>
      <family val="0"/>
      <color rgb="FF0070AD"/>
      <sz val="10"/>
    </font>
    <font>
      <name val="Arial"/>
      <charset val="1"/>
      <family val="0"/>
      <b val="1"/>
      <color rgb="FFCC0000"/>
      <sz val="10"/>
    </font>
    <font>
      <name val="Arial"/>
      <charset val="1"/>
      <family val="0"/>
      <b val="1"/>
      <color rgb="FFCC6600"/>
      <sz val="10"/>
    </font>
    <font>
      <name val="Arial"/>
      <charset val="1"/>
      <family val="0"/>
      <b val="1"/>
      <color rgb="FFAA8800"/>
      <sz val="10"/>
    </font>
    <font>
      <name val="Arial"/>
      <charset val="1"/>
      <family val="0"/>
      <b val="1"/>
      <color rgb="FF448844"/>
      <sz val="10"/>
    </font>
  </fonts>
  <fills count="8">
    <fill>
      <patternFill/>
    </fill>
    <fill>
      <patternFill patternType="gray125"/>
    </fill>
    <fill>
      <patternFill patternType="solid">
        <fgColor rgb="FF0D2137"/>
        <bgColor rgb="FF003300"/>
      </patternFill>
    </fill>
    <fill>
      <patternFill patternType="solid">
        <fgColor rgb="FFE4EDF5"/>
        <bgColor rgb="FFF0F6FA"/>
      </patternFill>
    </fill>
    <fill>
      <patternFill patternType="solid">
        <fgColor rgb="FFFFF3CD"/>
        <bgColor rgb="FFF5F5F5"/>
      </patternFill>
    </fill>
    <fill>
      <patternFill patternType="solid">
        <fgColor rgb="FFF5F5F5"/>
        <bgColor rgb="FFF0F6FA"/>
      </patternFill>
    </fill>
    <fill>
      <patternFill patternType="solid">
        <fgColor rgb="FFF0F6FA"/>
        <bgColor rgb="FFF5F5F5"/>
      </patternFill>
    </fill>
    <fill>
      <patternFill patternType="solid">
        <fgColor rgb="FFFFFFFF"/>
        <bgColor rgb="FFF5F5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3"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4" borderId="0" applyAlignment="1" pivotButton="0" quotePrefix="0" xfId="0">
      <alignment horizontal="left" vertical="center" wrapText="1"/>
    </xf>
    <xf numFmtId="0" fontId="11" fillId="4" borderId="0" applyAlignment="1" pivotButton="0" quotePrefix="0" xfId="0">
      <alignment horizontal="left" vertical="center" wrapText="1"/>
    </xf>
    <xf numFmtId="0" fontId="12" fillId="4" borderId="0" applyAlignment="1" pivotButton="0" quotePrefix="0" xfId="0">
      <alignment horizontal="left" vertical="center" wrapText="1"/>
    </xf>
    <xf numFmtId="0" fontId="13" fillId="4" borderId="0" applyAlignment="1" pivotButton="0" quotePrefix="0" xfId="0">
      <alignment horizontal="left" vertical="center" wrapText="1"/>
    </xf>
    <xf numFmtId="0" fontId="14" fillId="2" borderId="0" applyAlignment="1" pivotButton="0" quotePrefix="0" xfId="0">
      <alignment horizontal="left" vertical="center" wrapText="1"/>
    </xf>
    <xf numFmtId="0" fontId="15" fillId="5" borderId="0"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9" fillId="6" borderId="0" applyAlignment="1" pivotButton="0" quotePrefix="0" xfId="0">
      <alignment horizontal="left"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4" fillId="2" borderId="0" applyAlignment="1" pivotButton="0" quotePrefix="0" xfId="0">
      <alignment horizontal="center" vertical="center" wrapText="1"/>
    </xf>
    <xf numFmtId="0" fontId="16" fillId="6" borderId="0" applyAlignment="1" pivotButton="0" quotePrefix="0" xfId="0">
      <alignment horizontal="left" vertical="center" wrapText="1"/>
    </xf>
    <xf numFmtId="0" fontId="16" fillId="7"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3"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4" borderId="0" applyAlignment="1" pivotButton="0" quotePrefix="0" xfId="0">
      <alignment horizontal="left" vertical="center" wrapText="1"/>
    </xf>
    <xf numFmtId="0" fontId="11" fillId="4" borderId="0" applyAlignment="1" pivotButton="0" quotePrefix="0" xfId="0">
      <alignment horizontal="left" vertical="center" wrapText="1"/>
    </xf>
    <xf numFmtId="0" fontId="12" fillId="4" borderId="0" applyAlignment="1" pivotButton="0" quotePrefix="0" xfId="0">
      <alignment horizontal="left" vertical="center" wrapText="1"/>
    </xf>
    <xf numFmtId="0" fontId="13" fillId="4" borderId="0" applyAlignment="1" pivotButton="0" quotePrefix="0" xfId="0">
      <alignment horizontal="left" vertical="center" wrapText="1"/>
    </xf>
    <xf numFmtId="0" fontId="14" fillId="2" borderId="0" applyAlignment="1" pivotButton="0" quotePrefix="0" xfId="0">
      <alignment horizontal="left" vertical="center" wrapText="1"/>
    </xf>
    <xf numFmtId="0" fontId="15" fillId="5" borderId="0"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9" fillId="6" borderId="0" applyAlignment="1" pivotButton="0" quotePrefix="0" xfId="0">
      <alignment horizontal="left" vertical="center" wrapText="1"/>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4" fillId="2" borderId="0" applyAlignment="1" pivotButton="0" quotePrefix="0" xfId="0">
      <alignment horizontal="center" vertical="center" wrapText="1"/>
    </xf>
    <xf numFmtId="0" fontId="16" fillId="6" borderId="0" applyAlignment="1" pivotButton="0" quotePrefix="0" xfId="0">
      <alignment horizontal="left" vertical="center" wrapText="1"/>
    </xf>
    <xf numFmtId="0" fontId="16" fillId="7"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AA8800"/>
      <rgbColor rgb="FF800080"/>
      <rgbColor rgb="FF008080"/>
      <rgbColor rgb="FFC0C0C0"/>
      <rgbColor rgb="FF808080"/>
      <rgbColor rgb="FF9999FF"/>
      <rgbColor rgb="FF993366"/>
      <rgbColor rgb="FFFFF3CD"/>
      <rgbColor rgb="FFE4EDF5"/>
      <rgbColor rgb="FF660066"/>
      <rgbColor rgb="FFFF8080"/>
      <rgbColor rgb="FF0070AD"/>
      <rgbColor rgb="FFCCCCFF"/>
      <rgbColor rgb="FF000080"/>
      <rgbColor rgb="FFFF00FF"/>
      <rgbColor rgb="FFFFFF00"/>
      <rgbColor rgb="FF00FFFF"/>
      <rgbColor rgb="FF800080"/>
      <rgbColor rgb="FF800000"/>
      <rgbColor rgb="FF008080"/>
      <rgbColor rgb="FF0000FF"/>
      <rgbColor rgb="FF00CCFF"/>
      <rgbColor rgb="FFF0F6FA"/>
      <rgbColor rgb="FFF5F5F5"/>
      <rgbColor rgb="FFFFFF99"/>
      <rgbColor rgb="FFAACCDD"/>
      <rgbColor rgb="FFFF99CC"/>
      <rgbColor rgb="FFCC99FF"/>
      <rgbColor rgb="FFFFCC99"/>
      <rgbColor rgb="FF3366FF"/>
      <rgbColor rgb="FF33CCCC"/>
      <rgbColor rgb="FF99CC00"/>
      <rgbColor rgb="FFFFCC00"/>
      <rgbColor rgb="FFFF9900"/>
      <rgbColor rgb="FFCC6600"/>
      <rgbColor rgb="FF666699"/>
      <rgbColor rgb="FF8C8C8C"/>
      <rgbColor rgb="FF0D2137"/>
      <rgbColor rgb="FF448844"/>
      <rgbColor rgb="FF003300"/>
      <rgbColor rgb="FF333300"/>
      <rgbColor rgb="FF7D4E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24" min="1" max="1"/>
    <col width="74" customWidth="1" style="24" min="2" max="2"/>
  </cols>
  <sheetData>
    <row r="1" ht="39.75" customHeight="1" s="25">
      <c r="A1" s="26" t="inlineStr">
        <is>
          <t>📊  RADAR Template — Strategic Intelligence Workbook</t>
        </is>
      </c>
    </row>
    <row r="2" ht="19.5" customHeight="1" s="25">
      <c r="A2" s="27" t="inlineStr">
        <is>
          <t>Universal monitoring template — adapt to any type of entity (competitors, clients, regulations, technologies…)</t>
        </is>
      </c>
    </row>
    <row r="3" ht="7.5" customHeight="1" s="25">
      <c r="A3" s="28" t="n"/>
    </row>
    <row r="4" ht="21.75" customHeight="1" s="25">
      <c r="A4" s="29" t="inlineStr">
        <is>
          <t>ℹ️  ABOUT THIS TEMPLATE</t>
        </is>
      </c>
    </row>
    <row r="5" ht="19.5" customHeight="1" s="25">
      <c r="A5" s="30" t="inlineStr">
        <is>
          <t>Purpose</t>
        </is>
      </c>
      <c r="B5" s="31" t="inlineStr">
        <is>
          <t>Track and monitor any type of entity (companies, regulators, clients, technologies) by logging signals, scoring their priority, and maintaining a weekly history.</t>
        </is>
      </c>
    </row>
    <row r="6" ht="18" customHeight="1" s="25">
      <c r="A6" s="30" t="inlineStr">
        <is>
          <t>Structure</t>
        </is>
      </c>
      <c r="B6" s="31" t="inlineStr">
        <is>
          <t>4 sheets:  01_Input (scope)  →  02_Enrichment (signals)  →  03_Scoring (priority)  →  04_Weekly_Summary (history)</t>
        </is>
      </c>
    </row>
    <row r="7" ht="18" customHeight="1" s="25">
      <c r="A7" s="30" t="inlineStr">
        <is>
          <t>Adaptability</t>
        </is>
      </c>
      <c r="B7" s="31" t="inlineStr">
        <is>
          <t>Rename entities, adjust monitoring domains, and reword column headers to fit your radar type. See last section for examples.</t>
        </is>
      </c>
    </row>
    <row r="8" ht="7.5" customHeight="1" s="25">
      <c r="A8" s="28" t="n"/>
    </row>
    <row r="9" ht="24" customHeight="1" s="25">
      <c r="A9" s="32" t="inlineStr">
        <is>
          <t>⚠️  THE GREY &amp; ITALIC ROWS — READ THIS FIRST</t>
        </is>
      </c>
    </row>
    <row r="10" ht="33.75" customHeight="1" s="25">
      <c r="A10" s="33" t="inlineStr">
        <is>
          <t>What they are</t>
        </is>
      </c>
      <c r="B10" s="34" t="inlineStr">
        <is>
          <t>Rows 2, 3 and 4 in each data sheet are EXAMPLE rows.
They show you what kind of data to enter. They are formatted italic + grey so you can immediately distinguish them from real data.</t>
        </is>
      </c>
    </row>
    <row r="11" ht="33.75" customHeight="1" s="25">
      <c r="A11" s="33" t="inlineStr">
        <is>
          <t>What to do with them</t>
        </is>
      </c>
      <c r="B11" s="34" t="inlineStr">
        <is>
          <t>REPLACE them with your own entries before use.
Simply overwrite the values in rows 2–4, or delete those rows and start entering your data from row 2.
When you fill in real data, also remove the grey + italic example styling: filled cells should use normal black, non-italic text — like the working rows from row 5.</t>
        </is>
      </c>
    </row>
    <row r="12" ht="21.75" customHeight="1" s="25">
      <c r="A12" s="33" t="inlineStr">
        <is>
          <t>Formulas (03_Scoring)</t>
        </is>
      </c>
      <c r="B12" s="35" t="inlineStr">
        <is>
          <t>Columns G (Global Score) and H (Priority) are pre-filled with formulas for ALL rows — keep them. Just fill in columns C–F with your scores.</t>
        </is>
      </c>
    </row>
    <row r="13" ht="7.5" customHeight="1" s="25">
      <c r="A13" s="28" t="n"/>
    </row>
    <row r="14" ht="21.75" customHeight="1" s="25">
      <c r="A14" s="29" t="inlineStr">
        <is>
          <t>🎨  COLOUR &amp; STYLE GUIDE</t>
        </is>
      </c>
    </row>
    <row r="15" ht="18" customHeight="1" s="25">
      <c r="A15" s="36" t="inlineStr">
        <is>
          <t>Dark navy header (row 1)</t>
        </is>
      </c>
      <c r="B15" s="31" t="inlineStr">
        <is>
          <t>Column headers — do not modify or delete</t>
        </is>
      </c>
    </row>
    <row r="16" ht="18" customHeight="1" s="25">
      <c r="A16" s="37" t="inlineStr">
        <is>
          <t>Grey + italic (rows 2–4)</t>
        </is>
      </c>
      <c r="B16" s="38" t="inlineStr">
        <is>
          <t>EXAMPLE data — replace with your own entries. These rows are placeholders only. Once overwritten with real data, remove the grey + italic styling so filled cells use normal black, non-italic formatting.</t>
        </is>
      </c>
    </row>
    <row r="17" ht="18" customHeight="1" s="25">
      <c r="A17" s="39" t="inlineStr">
        <is>
          <t>Blue text (rows 5+)</t>
        </is>
      </c>
      <c r="B17" s="39" t="inlineStr">
        <is>
          <t>Auto-calculated formulas in 03_Scoring — do not overwrite these cells</t>
        </is>
      </c>
    </row>
    <row r="18" ht="18" customHeight="1" s="25">
      <c r="A18" s="40" t="inlineStr">
        <is>
          <t>Alternating rows (rows 5+)</t>
        </is>
      </c>
      <c r="B18" s="31" t="inlineStr">
        <is>
          <t>Empty ready-to-fill working rows</t>
        </is>
      </c>
    </row>
    <row r="19" ht="7.5" customHeight="1" s="25">
      <c r="A19" s="28" t="n"/>
    </row>
    <row r="20" ht="21.75" customHeight="1" s="25">
      <c r="A20" s="29" t="inlineStr">
        <is>
          <t>📋  SHEETS OVERVIEW</t>
        </is>
      </c>
    </row>
    <row r="21" ht="27.75" customHeight="1" s="25">
      <c r="A21" s="30" t="inlineStr">
        <is>
          <t>01_Input</t>
        </is>
      </c>
      <c r="B21" s="31" t="inlineStr">
        <is>
          <t>Define your monitoring scope. One row per entity. Describe who/what you track, why, and what strategic questions you want to answer.</t>
        </is>
      </c>
    </row>
    <row r="22" ht="27.75" customHeight="1" s="25">
      <c r="A22" s="30" t="inlineStr">
        <is>
          <t>02_Enrichment</t>
        </is>
      </c>
      <c r="B22" s="31" t="inlineStr">
        <is>
          <t>Log signals for each entity: latest news or development, date, source, category, potential impact, risks, and opportunities detected.</t>
        </is>
      </c>
    </row>
    <row r="23" ht="27.75" customHeight="1" s="25">
      <c r="A23" s="30" t="inlineStr">
        <is>
          <t>03_Scoring</t>
        </is>
      </c>
      <c r="B23" s="31" t="inlineStr">
        <is>
          <t>Score each entity on 4 dimensions (Impact, Urgency, Opportunity, Complexity) out of 10. The Global Score /100 and Priority label are auto-calculated.</t>
        </is>
      </c>
    </row>
    <row r="24" ht="27.75" customHeight="1" s="25">
      <c r="A24" s="30" t="inlineStr">
        <is>
          <t>04_Weekly_Summary</t>
        </is>
      </c>
      <c r="B24" s="31" t="inlineStr">
        <is>
          <t>Append one row per session or week. Captures key signals, risks, opportunities, decisions and the message to share with stakeholders.</t>
        </is>
      </c>
    </row>
    <row r="25" ht="7.5" customHeight="1" s="25">
      <c r="A25" s="28" t="n"/>
    </row>
    <row r="26" ht="21.75" customHeight="1" s="25">
      <c r="A26" s="29" t="inlineStr">
        <is>
          <t>🚀  HOW TO USE THIS TEMPLATE</t>
        </is>
      </c>
    </row>
    <row r="27" ht="19.5" customHeight="1" s="25">
      <c r="A27" s="30" t="inlineStr">
        <is>
          <t>Step 1 — Define scope</t>
        </is>
      </c>
      <c r="B27" s="31" t="inlineStr">
        <is>
          <t>Fill in 01_Input: list all entities you want to monitor, their type, geography, domain, and why each matters.</t>
        </is>
      </c>
    </row>
    <row r="28" ht="19.5" customHeight="1" s="25">
      <c r="A28" s="30" t="inlineStr">
        <is>
          <t>Step 2 — Collect signals</t>
        </is>
      </c>
      <c r="B28" s="31" t="inlineStr">
        <is>
          <t>Fill in 02_Enrichment: for each entity, log the latest signal — what happened, when, where, and what it means.</t>
        </is>
      </c>
    </row>
    <row r="29" ht="19.5" customHeight="1" s="25">
      <c r="A29" s="30" t="inlineStr">
        <is>
          <t>Step 3 — Score and prioritize</t>
        </is>
      </c>
      <c r="B29" s="31" t="inlineStr">
        <is>
          <t>In 03_Scoring, enter your scores in columns C–F. The Global Score and Priority label are calculated automatically.</t>
        </is>
      </c>
    </row>
    <row r="30" ht="19.5" customHeight="1" s="25">
      <c r="A30" s="30" t="inlineStr">
        <is>
          <t>Step 4 — Record your synthesis</t>
        </is>
      </c>
      <c r="B30" s="31" t="inlineStr">
        <is>
          <t>Add one row to 04_Weekly_Summary: key signals, risks, opportunities, and the message to share with leadership.</t>
        </is>
      </c>
    </row>
    <row r="31" ht="7.5" customHeight="1" s="25">
      <c r="A31" s="28" t="n"/>
    </row>
    <row r="32" ht="21.75" customHeight="1" s="25">
      <c r="A32" s="29" t="inlineStr">
        <is>
          <t>🔢  SCORING FORMULA (03_Scoring)</t>
        </is>
      </c>
    </row>
    <row r="33" ht="19.5" customHeight="1" s="25">
      <c r="A33" s="30" t="inlineStr">
        <is>
          <t>Global Score formula</t>
        </is>
      </c>
      <c r="B33" s="39" t="inlineStr">
        <is>
          <t>AVERAGE(Impact, Urgency, Opportunity, Complexity) × 10   →   scale 0–100</t>
        </is>
      </c>
    </row>
    <row r="34" ht="18" customHeight="1" s="25">
      <c r="A34" s="41" t="inlineStr">
        <is>
          <t>CRITICAL  (score ≥ 80)</t>
        </is>
      </c>
      <c r="B34" s="31" t="inlineStr">
        <is>
          <t>Immediate action required — escalate to leadership</t>
        </is>
      </c>
    </row>
    <row r="35" ht="18" customHeight="1" s="25">
      <c r="A35" s="42" t="inlineStr">
        <is>
          <t>HIGH  (score 65–79)</t>
        </is>
      </c>
      <c r="B35" s="31" t="inlineStr">
        <is>
          <t>High priority — assign owner, act within 2 weeks</t>
        </is>
      </c>
    </row>
    <row r="36" ht="18" customHeight="1" s="25">
      <c r="A36" s="43" t="inlineStr">
        <is>
          <t>MEDIUM  (score 45–64)</t>
        </is>
      </c>
      <c r="B36" s="31" t="inlineStr">
        <is>
          <t>Monitor closely — plan action within 30 days</t>
        </is>
      </c>
    </row>
    <row r="37" ht="18" customHeight="1" s="25">
      <c r="A37" s="44" t="inlineStr">
        <is>
          <t>LOW  (score &lt; 45)</t>
        </is>
      </c>
      <c r="B37" s="31" t="inlineStr">
        <is>
          <t>Watch — no immediate action required</t>
        </is>
      </c>
    </row>
    <row r="38" ht="7.5" customHeight="1" s="25">
      <c r="A38" s="28" t="n"/>
    </row>
    <row r="39" ht="21.75" customHeight="1" s="25">
      <c r="A39" s="29" t="inlineStr">
        <is>
          <t>🔄  ADAPTING TO ANY RADAR TYPE</t>
        </is>
      </c>
    </row>
    <row r="40" ht="21.75" customHeight="1" s="25">
      <c r="A40" s="30" t="inlineStr">
        <is>
          <t>Competitor radar</t>
        </is>
      </c>
      <c r="B40" s="31" t="inlineStr">
        <is>
          <t>Entities = companies/competitors  ·  Signals = product launches, partnerships, funding  ·  Domain = your market segments</t>
        </is>
      </c>
    </row>
    <row r="41" ht="21.75" customHeight="1" s="25">
      <c r="A41" s="30" t="inlineStr">
        <is>
          <t>Regulatory radar</t>
        </is>
      </c>
      <c r="B41" s="31" t="inlineStr">
        <is>
          <t>Entities = laws, standards, regulators  ·  Signals = consultations, publications, enforcement  ·  Domain = compliance areas</t>
        </is>
      </c>
    </row>
    <row r="42" ht="21.75" customHeight="1" s="25">
      <c r="A42" s="30" t="inlineStr">
        <is>
          <t>Client radar</t>
        </is>
      </c>
      <c r="B42" s="31" t="inlineStr">
        <is>
          <t>Entities = client/prospect accounts  ·  Signals = contract signals, leadership changes, strategic shifts  ·  Domain = account segments</t>
        </is>
      </c>
    </row>
    <row r="43" ht="21.75" customHeight="1" s="25">
      <c r="A43" s="30" t="inlineStr">
        <is>
          <t>Technology radar</t>
        </is>
      </c>
      <c r="B43" s="31" t="inlineStr">
        <is>
          <t>Entities = technologies, tools, platforms  ·  Signals = adoption news, open-source releases, analyst reports  ·  Domain = tech categories</t>
        </is>
      </c>
    </row>
    <row r="44" ht="7.5" customHeight="1" s="25">
      <c r="A44" s="28" t="n"/>
    </row>
  </sheetData>
  <mergeCells count="17">
    <mergeCell ref="A4:B4"/>
    <mergeCell ref="A26:B26"/>
    <mergeCell ref="A20:B20"/>
    <mergeCell ref="A2:B2"/>
    <mergeCell ref="A38:B38"/>
    <mergeCell ref="A25:B25"/>
    <mergeCell ref="A19:B19"/>
    <mergeCell ref="A32:B32"/>
    <mergeCell ref="A13:B13"/>
    <mergeCell ref="A14:B14"/>
    <mergeCell ref="A44:B44"/>
    <mergeCell ref="A1:B1"/>
    <mergeCell ref="A9:B9"/>
    <mergeCell ref="A8:B8"/>
    <mergeCell ref="A31:B31"/>
    <mergeCell ref="A3:B3"/>
    <mergeCell ref="A39:B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24" min="1" max="1"/>
    <col width="22" customWidth="1" style="24" min="2" max="2"/>
    <col width="18" customWidth="1" style="24" min="3" max="3"/>
    <col width="16" customWidth="1" style="24" min="4" max="4"/>
    <col width="22" customWidth="1" style="24" min="5" max="5"/>
    <col width="18" customWidth="1" style="24" min="6" max="6"/>
    <col width="36" customWidth="1" style="24" min="7" max="7"/>
    <col width="30" customWidth="1" style="24" min="8" max="10"/>
  </cols>
  <sheetData>
    <row r="1" ht="36" customHeight="1" s="25">
      <c r="A1" s="45" t="inlineStr">
        <is>
          <t>ID</t>
        </is>
      </c>
      <c r="B1" s="45" t="inlineStr">
        <is>
          <t>Entity</t>
        </is>
      </c>
      <c r="C1" s="45" t="inlineStr">
        <is>
          <t>Entity Type</t>
        </is>
      </c>
      <c r="D1" s="45" t="inlineStr">
        <is>
          <t>Geography</t>
        </is>
      </c>
      <c r="E1" s="45" t="inlineStr">
        <is>
          <t>Monitoring Domain</t>
        </is>
      </c>
      <c r="F1" s="45" t="inlineStr">
        <is>
          <t>Attention Level</t>
        </is>
      </c>
      <c r="G1" s="45" t="inlineStr">
        <is>
          <t>Why We Track It</t>
        </is>
      </c>
      <c r="H1" s="45" t="inlineStr">
        <is>
          <t>Strategic Question</t>
        </is>
      </c>
      <c r="I1" s="45" t="inlineStr">
        <is>
          <t>Opportunity Angle</t>
        </is>
      </c>
      <c r="J1" s="45" t="inlineStr">
        <is>
          <t>Participant Comment</t>
        </is>
      </c>
    </row>
    <row r="2" ht="24" customHeight="1" s="25">
      <c r="A2" s="37" t="inlineStr">
        <is>
          <t>ENT-001</t>
        </is>
      </c>
      <c r="B2" s="37" t="inlineStr">
        <is>
          <t>Competitor Alpha</t>
        </is>
      </c>
      <c r="C2" s="37" t="inlineStr">
        <is>
          <t>Global Integrator</t>
        </is>
      </c>
      <c r="D2" s="37" t="inlineStr">
        <is>
          <t>North America</t>
        </is>
      </c>
      <c r="E2" s="37" t="inlineStr">
        <is>
          <t>AI &amp; Automation</t>
        </is>
      </c>
      <c r="F2" s="37" t="inlineStr">
        <is>
          <t>HIGH</t>
        </is>
      </c>
      <c r="G2" s="37" t="inlineStr">
        <is>
          <t>Fast-growing AI platform with direct market overlap</t>
        </is>
      </c>
      <c r="H2" s="37" t="inlineStr">
        <is>
          <t>How quickly are they scaling GenAI enterprise services?</t>
        </is>
      </c>
      <c r="I2" s="37" t="inlineStr">
        <is>
          <t>White-label partnership opportunity</t>
        </is>
      </c>
      <c r="J2" s="37" t="inlineStr">
        <is>
          <t>Review quarterly</t>
        </is>
      </c>
    </row>
    <row r="3" ht="24" customHeight="1" s="25">
      <c r="A3" s="37" t="inlineStr">
        <is>
          <t>ENT-002</t>
        </is>
      </c>
      <c r="B3" s="37" t="inlineStr">
        <is>
          <t>Startup Beta</t>
        </is>
      </c>
      <c r="C3" s="37" t="inlineStr">
        <is>
          <t>AI-Native Startup</t>
        </is>
      </c>
      <c r="D3" s="37" t="inlineStr">
        <is>
          <t>Europe</t>
        </is>
      </c>
      <c r="E3" s="37" t="inlineStr">
        <is>
          <t>Generative AI</t>
        </is>
      </c>
      <c r="F3" s="37" t="inlineStr">
        <is>
          <t>CRITICAL</t>
        </is>
      </c>
      <c r="G3" s="37" t="inlineStr">
        <is>
          <t>Released open-source LLM with rapid developer adoption</t>
        </is>
      </c>
      <c r="H3" s="37" t="inlineStr">
        <is>
          <t>Is their model a direct substitute for ours?</t>
        </is>
      </c>
      <c r="I3" s="37" t="inlineStr">
        <is>
          <t>Base model for internal R&amp;D projects</t>
        </is>
      </c>
      <c r="J3" s="37" t="inlineStr">
        <is>
          <t>Escalate to leadership</t>
        </is>
      </c>
    </row>
    <row r="4" ht="24" customHeight="1" s="25">
      <c r="A4" s="37" t="inlineStr">
        <is>
          <t>ENT-003</t>
        </is>
      </c>
      <c r="B4" s="37" t="inlineStr">
        <is>
          <t>Regulation Gamma</t>
        </is>
      </c>
      <c r="C4" s="37" t="inlineStr">
        <is>
          <t>Regulatory Body</t>
        </is>
      </c>
      <c r="D4" s="37" t="inlineStr">
        <is>
          <t>European Union</t>
        </is>
      </c>
      <c r="E4" s="37" t="inlineStr">
        <is>
          <t>AI Compliance</t>
        </is>
      </c>
      <c r="F4" s="37" t="inlineStr">
        <is>
          <t>MEDIUM</t>
        </is>
      </c>
      <c r="G4" s="37" t="inlineStr">
        <is>
          <t>New enforcement guidelines impacting AI deployments</t>
        </is>
      </c>
      <c r="H4" s="37" t="inlineStr">
        <is>
          <t>What compliance deadlines apply to our products?</t>
        </is>
      </c>
      <c r="I4" s="37" t="inlineStr">
        <is>
          <t>Early compliance = competitive differentiator</t>
        </is>
      </c>
      <c r="J4" s="37" t="inlineStr">
        <is>
          <t>Assign to legal team</t>
        </is>
      </c>
    </row>
    <row r="5" ht="15" customHeight="1" s="25">
      <c r="A5" s="46" t="n"/>
      <c r="B5" s="46" t="n"/>
      <c r="C5" s="46" t="n"/>
      <c r="D5" s="46" t="n"/>
      <c r="E5" s="46" t="n"/>
      <c r="F5" s="46" t="n"/>
      <c r="G5" s="46" t="n"/>
      <c r="H5" s="46" t="n"/>
      <c r="I5" s="46" t="n"/>
      <c r="J5" s="46" t="n"/>
    </row>
    <row r="6" ht="15" customHeight="1" s="25">
      <c r="A6" s="47" t="n"/>
      <c r="B6" s="47" t="n"/>
      <c r="C6" s="47" t="n"/>
      <c r="D6" s="47" t="n"/>
      <c r="E6" s="47" t="n"/>
      <c r="F6" s="47" t="n"/>
      <c r="G6" s="47" t="n"/>
      <c r="H6" s="47" t="n"/>
      <c r="I6" s="47" t="n"/>
      <c r="J6" s="47" t="n"/>
    </row>
    <row r="7" ht="15" customHeight="1" s="25">
      <c r="A7" s="46" t="n"/>
      <c r="B7" s="46" t="n"/>
      <c r="C7" s="46" t="n"/>
      <c r="D7" s="46" t="n"/>
      <c r="E7" s="46" t="n"/>
      <c r="F7" s="46" t="n"/>
      <c r="G7" s="46" t="n"/>
      <c r="H7" s="46" t="n"/>
      <c r="I7" s="46" t="n"/>
      <c r="J7" s="46" t="n"/>
    </row>
    <row r="8" ht="15" customHeight="1" s="25">
      <c r="A8" s="47" t="n"/>
      <c r="B8" s="47" t="n"/>
      <c r="C8" s="47" t="n"/>
      <c r="D8" s="47" t="n"/>
      <c r="E8" s="47" t="n"/>
      <c r="F8" s="47" t="n"/>
      <c r="G8" s="47" t="n"/>
      <c r="H8" s="47" t="n"/>
      <c r="I8" s="47" t="n"/>
      <c r="J8" s="47" t="n"/>
    </row>
    <row r="9" ht="15" customHeight="1" s="25">
      <c r="A9" s="46" t="n"/>
      <c r="B9" s="46" t="n"/>
      <c r="C9" s="46" t="n"/>
      <c r="D9" s="46" t="n"/>
      <c r="E9" s="46" t="n"/>
      <c r="F9" s="46" t="n"/>
      <c r="G9" s="46" t="n"/>
      <c r="H9" s="46" t="n"/>
      <c r="I9" s="46" t="n"/>
      <c r="J9" s="46" t="n"/>
    </row>
    <row r="10" ht="15" customHeight="1" s="25">
      <c r="A10" s="47" t="n"/>
      <c r="B10" s="47" t="n"/>
      <c r="C10" s="47" t="n"/>
      <c r="D10" s="47" t="n"/>
      <c r="E10" s="47" t="n"/>
      <c r="F10" s="47" t="n"/>
      <c r="G10" s="47" t="n"/>
      <c r="H10" s="47" t="n"/>
      <c r="I10" s="47" t="n"/>
      <c r="J10" s="47" t="n"/>
    </row>
    <row r="11" ht="15" customHeight="1" s="25">
      <c r="A11" s="46" t="n"/>
      <c r="B11" s="46" t="n"/>
      <c r="C11" s="46" t="n"/>
      <c r="D11" s="46" t="n"/>
      <c r="E11" s="46" t="n"/>
      <c r="F11" s="46" t="n"/>
      <c r="G11" s="46" t="n"/>
      <c r="H11" s="46" t="n"/>
      <c r="I11" s="46" t="n"/>
      <c r="J11" s="46" t="n"/>
    </row>
    <row r="12" ht="15" customHeight="1" s="25">
      <c r="A12" s="47" t="n"/>
      <c r="B12" s="47" t="n"/>
      <c r="C12" s="47" t="n"/>
      <c r="D12" s="47" t="n"/>
      <c r="E12" s="47" t="n"/>
      <c r="F12" s="47" t="n"/>
      <c r="G12" s="47" t="n"/>
      <c r="H12" s="47" t="n"/>
      <c r="I12" s="47" t="n"/>
      <c r="J12" s="47" t="n"/>
    </row>
    <row r="13" ht="15" customHeight="1" s="25">
      <c r="A13" s="46" t="n"/>
      <c r="B13" s="46" t="n"/>
      <c r="C13" s="46" t="n"/>
      <c r="D13" s="46" t="n"/>
      <c r="E13" s="46" t="n"/>
      <c r="F13" s="46" t="n"/>
      <c r="G13" s="46" t="n"/>
      <c r="H13" s="46" t="n"/>
      <c r="I13" s="46" t="n"/>
      <c r="J13" s="46" t="n"/>
    </row>
    <row r="14" ht="15" customHeight="1" s="25">
      <c r="A14" s="47" t="n"/>
      <c r="B14" s="47" t="n"/>
      <c r="C14" s="47" t="n"/>
      <c r="D14" s="47" t="n"/>
      <c r="E14" s="47" t="n"/>
      <c r="F14" s="47" t="n"/>
      <c r="G14" s="47" t="n"/>
      <c r="H14" s="47" t="n"/>
      <c r="I14" s="47" t="n"/>
      <c r="J14" s="47" t="n"/>
    </row>
    <row r="15" ht="15" customHeight="1" s="25">
      <c r="A15" s="46" t="n"/>
      <c r="B15" s="46" t="n"/>
      <c r="C15" s="46" t="n"/>
      <c r="D15" s="46" t="n"/>
      <c r="E15" s="46" t="n"/>
      <c r="F15" s="46" t="n"/>
      <c r="G15" s="46" t="n"/>
      <c r="H15" s="46" t="n"/>
      <c r="I15" s="46" t="n"/>
      <c r="J15" s="46" t="n"/>
    </row>
    <row r="16" ht="15" customHeight="1" s="25">
      <c r="A16" s="47" t="n"/>
      <c r="B16" s="47" t="n"/>
      <c r="C16" s="47" t="n"/>
      <c r="D16" s="47" t="n"/>
      <c r="E16" s="47" t="n"/>
      <c r="F16" s="47" t="n"/>
      <c r="G16" s="47" t="n"/>
      <c r="H16" s="47" t="n"/>
      <c r="I16" s="47" t="n"/>
      <c r="J16" s="47" t="n"/>
    </row>
    <row r="17" ht="15" customHeight="1" s="25">
      <c r="A17" s="46" t="n"/>
      <c r="B17" s="46" t="n"/>
      <c r="C17" s="46" t="n"/>
      <c r="D17" s="46" t="n"/>
      <c r="E17" s="46" t="n"/>
      <c r="F17" s="46" t="n"/>
      <c r="G17" s="46" t="n"/>
      <c r="H17" s="46" t="n"/>
      <c r="I17" s="46" t="n"/>
      <c r="J17" s="46" t="n"/>
    </row>
    <row r="18" ht="15" customHeight="1" s="25">
      <c r="A18" s="47" t="n"/>
      <c r="B18" s="47" t="n"/>
      <c r="C18" s="47" t="n"/>
      <c r="D18" s="47" t="n"/>
      <c r="E18" s="47" t="n"/>
      <c r="F18" s="47" t="n"/>
      <c r="G18" s="47" t="n"/>
      <c r="H18" s="47" t="n"/>
      <c r="I18" s="47" t="n"/>
      <c r="J18" s="47" t="n"/>
    </row>
    <row r="19" ht="15" customHeight="1" s="25">
      <c r="A19" s="46" t="n"/>
      <c r="B19" s="46" t="n"/>
      <c r="C19" s="46" t="n"/>
      <c r="D19" s="46" t="n"/>
      <c r="E19" s="46" t="n"/>
      <c r="F19" s="46" t="n"/>
      <c r="G19" s="46" t="n"/>
      <c r="H19" s="46" t="n"/>
      <c r="I19" s="46" t="n"/>
      <c r="J19" s="46" t="n"/>
    </row>
    <row r="20" ht="15" customHeight="1" s="25">
      <c r="A20" s="47" t="n"/>
      <c r="B20" s="47" t="n"/>
      <c r="C20" s="47" t="n"/>
      <c r="D20" s="47" t="n"/>
      <c r="E20" s="47" t="n"/>
      <c r="F20" s="47" t="n"/>
      <c r="G20" s="47" t="n"/>
      <c r="H20" s="47" t="n"/>
      <c r="I20" s="47" t="n"/>
      <c r="J20" s="47" t="n"/>
    </row>
    <row r="21" ht="15" customHeight="1" s="25">
      <c r="A21" s="46" t="n"/>
      <c r="B21" s="46" t="n"/>
      <c r="C21" s="46" t="n"/>
      <c r="D21" s="46" t="n"/>
      <c r="E21" s="46" t="n"/>
      <c r="F21" s="46" t="n"/>
      <c r="G21" s="46" t="n"/>
      <c r="H21" s="46" t="n"/>
      <c r="I21" s="46" t="n"/>
      <c r="J21" s="46" t="n"/>
    </row>
    <row r="22" ht="15" customHeight="1" s="25">
      <c r="A22" s="47" t="n"/>
      <c r="B22" s="47" t="n"/>
      <c r="C22" s="47" t="n"/>
      <c r="D22" s="47" t="n"/>
      <c r="E22" s="47" t="n"/>
      <c r="F22" s="47" t="n"/>
      <c r="G22" s="47" t="n"/>
      <c r="H22" s="47" t="n"/>
      <c r="I22" s="47" t="n"/>
      <c r="J22" s="47" t="n"/>
    </row>
    <row r="23" ht="15" customHeight="1" s="25">
      <c r="A23" s="46" t="n"/>
      <c r="B23" s="46" t="n"/>
      <c r="C23" s="46" t="n"/>
      <c r="D23" s="46" t="n"/>
      <c r="E23" s="46" t="n"/>
      <c r="F23" s="46" t="n"/>
      <c r="G23" s="46" t="n"/>
      <c r="H23" s="46" t="n"/>
      <c r="I23" s="46" t="n"/>
      <c r="J23" s="46" t="n"/>
    </row>
    <row r="24" ht="15" customHeight="1" s="25">
      <c r="A24" s="47" t="n"/>
      <c r="B24" s="47" t="n"/>
      <c r="C24" s="47" t="n"/>
      <c r="D24" s="47" t="n"/>
      <c r="E24" s="47" t="n"/>
      <c r="F24" s="47" t="n"/>
      <c r="G24" s="47" t="n"/>
      <c r="H24" s="47" t="n"/>
      <c r="I24" s="47" t="n"/>
      <c r="J24"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24" min="1" max="1"/>
    <col width="22" customWidth="1" style="24" min="2" max="2"/>
    <col width="36" customWidth="1" style="24" min="3" max="3"/>
    <col width="12" customWidth="1" style="24" min="4" max="4"/>
    <col width="20" customWidth="1" style="24" min="5" max="5"/>
    <col width="18" customWidth="1" style="24" min="6" max="6"/>
    <col width="22" customWidth="1" style="24" min="7" max="7"/>
    <col width="40" customWidth="1" style="24" min="8" max="8"/>
    <col width="36" customWidth="1" style="24" min="9" max="11"/>
    <col width="18" customWidth="1" style="24" min="12" max="13"/>
  </cols>
  <sheetData>
    <row r="1" ht="36" customHeight="1" s="25">
      <c r="A1" s="45" t="inlineStr">
        <is>
          <t>ID</t>
        </is>
      </c>
      <c r="B1" s="45" t="inlineStr">
        <is>
          <t>Entity</t>
        </is>
      </c>
      <c r="C1" s="45" t="inlineStr">
        <is>
          <t>Latest Signal Detected</t>
        </is>
      </c>
      <c r="D1" s="45" t="inlineStr">
        <is>
          <t>Date</t>
        </is>
      </c>
      <c r="E1" s="45" t="inlineStr">
        <is>
          <t>Source</t>
        </is>
      </c>
      <c r="F1" s="45" t="inlineStr">
        <is>
          <t>Signal Category</t>
        </is>
      </c>
      <c r="G1" s="45" t="inlineStr">
        <is>
          <t>Domain / Sector</t>
        </is>
      </c>
      <c r="H1" s="45" t="inlineStr">
        <is>
          <t>Signal Description</t>
        </is>
      </c>
      <c r="I1" s="45" t="inlineStr">
        <is>
          <t>Potential Impact</t>
        </is>
      </c>
      <c r="J1" s="45" t="inlineStr">
        <is>
          <t>Identified Risk</t>
        </is>
      </c>
      <c r="K1" s="45" t="inlineStr">
        <is>
          <t>Detected Opportunity</t>
        </is>
      </c>
      <c r="L1" s="45" t="inlineStr">
        <is>
          <t>Information Freshness</t>
        </is>
      </c>
      <c r="M1" s="45" t="inlineStr">
        <is>
          <t>Information Confidence</t>
        </is>
      </c>
    </row>
    <row r="2" ht="34.5" customHeight="1" s="25">
      <c r="A2" s="37" t="inlineStr">
        <is>
          <t>ENT-001</t>
        </is>
      </c>
      <c r="B2" s="37" t="inlineStr">
        <is>
          <t>Competitor Alpha</t>
        </is>
      </c>
      <c r="C2" s="37" t="inlineStr">
        <is>
          <t>Launched AI Platform 2.0 with enterprise focus</t>
        </is>
      </c>
      <c r="D2" s="37" t="inlineStr">
        <is>
          <t>2026-06-01</t>
        </is>
      </c>
      <c r="E2" s="37" t="inlineStr">
        <is>
          <t>techcrunch.com</t>
        </is>
      </c>
      <c r="F2" s="37" t="inlineStr">
        <is>
          <t>Product Launch</t>
        </is>
      </c>
      <c r="G2" s="37" t="inlineStr">
        <is>
          <t>Cloud / AI</t>
        </is>
      </c>
      <c r="H2" s="37" t="inlineStr">
        <is>
          <t>Announced major AI platform update targeting enterprise clients with embedded GenAI capabilities</t>
        </is>
      </c>
      <c r="I2" s="37" t="inlineStr">
        <is>
          <t>High — direct competition in our core market segment</t>
        </is>
      </c>
      <c r="J2" s="37" t="inlineStr">
        <is>
          <t>Risk of client migration to their platform</t>
        </is>
      </c>
      <c r="K2" s="37" t="inlineStr">
        <is>
          <t>Partner or compete differentiation opportunity</t>
        </is>
      </c>
      <c r="L2" s="37" t="inlineStr">
        <is>
          <t>2 weeks</t>
        </is>
      </c>
      <c r="M2" s="37" t="inlineStr">
        <is>
          <t>High</t>
        </is>
      </c>
    </row>
    <row r="3" ht="34.5" customHeight="1" s="25">
      <c r="A3" s="37" t="inlineStr">
        <is>
          <t>ENT-002</t>
        </is>
      </c>
      <c r="B3" s="37" t="inlineStr">
        <is>
          <t>Startup Beta</t>
        </is>
      </c>
      <c r="C3" s="37" t="inlineStr">
        <is>
          <t>Open-sourced a competitive language model</t>
        </is>
      </c>
      <c r="D3" s="37" t="inlineStr">
        <is>
          <t>2026-05-28</t>
        </is>
      </c>
      <c r="E3" s="37" t="inlineStr">
        <is>
          <t>venturebeat.com</t>
        </is>
      </c>
      <c r="F3" s="37" t="inlineStr">
        <is>
          <t>Open Source Release</t>
        </is>
      </c>
      <c r="G3" s="37" t="inlineStr">
        <is>
          <t>Generative AI</t>
        </is>
      </c>
      <c r="H3" s="37" t="inlineStr">
        <is>
          <t>Released a lightweight 7B-parameter model under MIT license, gaining rapid developer community traction</t>
        </is>
      </c>
      <c r="I3" s="37" t="inlineStr">
        <is>
          <t>Medium — indirect but growing threat</t>
        </is>
      </c>
      <c r="J3" s="37" t="inlineStr">
        <is>
          <t>Talent and ecosystem attraction risk</t>
        </is>
      </c>
      <c r="K3" s="37" t="inlineStr">
        <is>
          <t>Leverage as base model for internal projects</t>
        </is>
      </c>
      <c r="L3" s="37" t="inlineStr">
        <is>
          <t>3 weeks</t>
        </is>
      </c>
      <c r="M3" s="37" t="inlineStr">
        <is>
          <t>Medium</t>
        </is>
      </c>
    </row>
    <row r="4" ht="45.75" customHeight="1" s="25">
      <c r="A4" s="37" t="inlineStr">
        <is>
          <t>ENT-003</t>
        </is>
      </c>
      <c r="B4" s="37" t="inlineStr">
        <is>
          <t>Regulation Gamma</t>
        </is>
      </c>
      <c r="C4" s="37" t="inlineStr">
        <is>
          <t>Published updated AI compliance technical standards</t>
        </is>
      </c>
      <c r="D4" s="37" t="inlineStr">
        <is>
          <t>2026-06-05</t>
        </is>
      </c>
      <c r="E4" s="37" t="inlineStr">
        <is>
          <t>ec.europa.eu</t>
        </is>
      </c>
      <c r="F4" s="37" t="inlineStr">
        <is>
          <t>Regulatory Update</t>
        </is>
      </c>
      <c r="G4" s="37" t="inlineStr">
        <is>
          <t>AI Compliance</t>
        </is>
      </c>
      <c r="H4" s="37" t="inlineStr">
        <is>
          <t>Published detailed technical standards for high-risk AI systems, with enforcement effective Q1 2027</t>
        </is>
      </c>
      <c r="I4" s="37" t="inlineStr">
        <is>
          <t>Medium — compliance cost and timeline impact</t>
        </is>
      </c>
      <c r="J4" s="37" t="inlineStr">
        <is>
          <t>Non-compliance penalties and delayed product deployment</t>
        </is>
      </c>
      <c r="K4" s="37" t="inlineStr">
        <is>
          <t>First-mover advantage in certified AI services</t>
        </is>
      </c>
      <c r="L4" s="37" t="inlineStr">
        <is>
          <t>1 week</t>
        </is>
      </c>
      <c r="M4" s="37" t="inlineStr">
        <is>
          <t>High</t>
        </is>
      </c>
    </row>
    <row r="5" ht="15" customHeight="1" s="25">
      <c r="A5" s="46" t="n"/>
      <c r="B5" s="46" t="n"/>
      <c r="C5" s="46" t="n"/>
      <c r="D5" s="46" t="n"/>
      <c r="E5" s="46" t="n"/>
      <c r="F5" s="46" t="n"/>
      <c r="G5" s="46" t="n"/>
      <c r="H5" s="46" t="n"/>
      <c r="I5" s="46" t="n"/>
      <c r="J5" s="46" t="n"/>
      <c r="K5" s="46" t="n"/>
      <c r="L5" s="46" t="n"/>
      <c r="M5" s="46" t="n"/>
    </row>
    <row r="6" ht="15" customHeight="1" s="25">
      <c r="A6" s="47" t="n"/>
      <c r="B6" s="47" t="n"/>
      <c r="C6" s="47" t="n"/>
      <c r="D6" s="47" t="n"/>
      <c r="E6" s="47" t="n"/>
      <c r="F6" s="47" t="n"/>
      <c r="G6" s="47" t="n"/>
      <c r="H6" s="47" t="n"/>
      <c r="I6" s="47" t="n"/>
      <c r="J6" s="47" t="n"/>
      <c r="K6" s="47" t="n"/>
      <c r="L6" s="47" t="n"/>
      <c r="M6" s="47" t="n"/>
    </row>
    <row r="7" ht="15" customHeight="1" s="25">
      <c r="A7" s="46" t="n"/>
      <c r="B7" s="46" t="n"/>
      <c r="C7" s="46" t="n"/>
      <c r="D7" s="46" t="n"/>
      <c r="E7" s="46" t="n"/>
      <c r="F7" s="46" t="n"/>
      <c r="G7" s="46" t="n"/>
      <c r="H7" s="46" t="n"/>
      <c r="I7" s="46" t="n"/>
      <c r="J7" s="46" t="n"/>
      <c r="K7" s="46" t="n"/>
      <c r="L7" s="46" t="n"/>
      <c r="M7" s="46" t="n"/>
    </row>
    <row r="8" ht="15" customHeight="1" s="25">
      <c r="A8" s="47" t="n"/>
      <c r="B8" s="47" t="n"/>
      <c r="C8" s="47" t="n"/>
      <c r="D8" s="47" t="n"/>
      <c r="E8" s="47" t="n"/>
      <c r="F8" s="47" t="n"/>
      <c r="G8" s="47" t="n"/>
      <c r="H8" s="47" t="n"/>
      <c r="I8" s="47" t="n"/>
      <c r="J8" s="47" t="n"/>
      <c r="K8" s="47" t="n"/>
      <c r="L8" s="47" t="n"/>
      <c r="M8" s="47" t="n"/>
    </row>
    <row r="9" ht="15" customHeight="1" s="25">
      <c r="A9" s="46" t="n"/>
      <c r="B9" s="46" t="n"/>
      <c r="C9" s="46" t="n"/>
      <c r="D9" s="46" t="n"/>
      <c r="E9" s="46" t="n"/>
      <c r="F9" s="46" t="n"/>
      <c r="G9" s="46" t="n"/>
      <c r="H9" s="46" t="n"/>
      <c r="I9" s="46" t="n"/>
      <c r="J9" s="46" t="n"/>
      <c r="K9" s="46" t="n"/>
      <c r="L9" s="46" t="n"/>
      <c r="M9" s="46" t="n"/>
    </row>
    <row r="10" ht="15" customHeight="1" s="25">
      <c r="A10" s="47" t="n"/>
      <c r="B10" s="47" t="n"/>
      <c r="C10" s="47" t="n"/>
      <c r="D10" s="47" t="n"/>
      <c r="E10" s="47" t="n"/>
      <c r="F10" s="47" t="n"/>
      <c r="G10" s="47" t="n"/>
      <c r="H10" s="47" t="n"/>
      <c r="I10" s="47" t="n"/>
      <c r="J10" s="47" t="n"/>
      <c r="K10" s="47" t="n"/>
      <c r="L10" s="47" t="n"/>
      <c r="M10" s="47" t="n"/>
    </row>
    <row r="11" ht="15" customHeight="1" s="25">
      <c r="A11" s="46" t="n"/>
      <c r="B11" s="46" t="n"/>
      <c r="C11" s="46" t="n"/>
      <c r="D11" s="46" t="n"/>
      <c r="E11" s="46" t="n"/>
      <c r="F11" s="46" t="n"/>
      <c r="G11" s="46" t="n"/>
      <c r="H11" s="46" t="n"/>
      <c r="I11" s="46" t="n"/>
      <c r="J11" s="46" t="n"/>
      <c r="K11" s="46" t="n"/>
      <c r="L11" s="46" t="n"/>
      <c r="M11" s="46" t="n"/>
    </row>
    <row r="12" ht="15" customHeight="1" s="25">
      <c r="A12" s="47" t="n"/>
      <c r="B12" s="47" t="n"/>
      <c r="C12" s="47" t="n"/>
      <c r="D12" s="47" t="n"/>
      <c r="E12" s="47" t="n"/>
      <c r="F12" s="47" t="n"/>
      <c r="G12" s="47" t="n"/>
      <c r="H12" s="47" t="n"/>
      <c r="I12" s="47" t="n"/>
      <c r="J12" s="47" t="n"/>
      <c r="K12" s="47" t="n"/>
      <c r="L12" s="47" t="n"/>
      <c r="M12" s="47" t="n"/>
    </row>
    <row r="13" ht="15" customHeight="1" s="25">
      <c r="A13" s="46" t="n"/>
      <c r="B13" s="46" t="n"/>
      <c r="C13" s="46" t="n"/>
      <c r="D13" s="46" t="n"/>
      <c r="E13" s="46" t="n"/>
      <c r="F13" s="46" t="n"/>
      <c r="G13" s="46" t="n"/>
      <c r="H13" s="46" t="n"/>
      <c r="I13" s="46" t="n"/>
      <c r="J13" s="46" t="n"/>
      <c r="K13" s="46" t="n"/>
      <c r="L13" s="46" t="n"/>
      <c r="M13" s="46" t="n"/>
    </row>
    <row r="14" ht="15" customHeight="1" s="25">
      <c r="A14" s="47" t="n"/>
      <c r="B14" s="47" t="n"/>
      <c r="C14" s="47" t="n"/>
      <c r="D14" s="47" t="n"/>
      <c r="E14" s="47" t="n"/>
      <c r="F14" s="47" t="n"/>
      <c r="G14" s="47" t="n"/>
      <c r="H14" s="47" t="n"/>
      <c r="I14" s="47" t="n"/>
      <c r="J14" s="47" t="n"/>
      <c r="K14" s="47" t="n"/>
      <c r="L14" s="47" t="n"/>
      <c r="M14" s="47" t="n"/>
    </row>
    <row r="15" ht="15" customHeight="1" s="25">
      <c r="A15" s="46" t="n"/>
      <c r="B15" s="46" t="n"/>
      <c r="C15" s="46" t="n"/>
      <c r="D15" s="46" t="n"/>
      <c r="E15" s="46" t="n"/>
      <c r="F15" s="46" t="n"/>
      <c r="G15" s="46" t="n"/>
      <c r="H15" s="46" t="n"/>
      <c r="I15" s="46" t="n"/>
      <c r="J15" s="46" t="n"/>
      <c r="K15" s="46" t="n"/>
      <c r="L15" s="46" t="n"/>
      <c r="M15" s="46" t="n"/>
    </row>
    <row r="16" ht="15" customHeight="1" s="25">
      <c r="A16" s="47" t="n"/>
      <c r="B16" s="47" t="n"/>
      <c r="C16" s="47" t="n"/>
      <c r="D16" s="47" t="n"/>
      <c r="E16" s="47" t="n"/>
      <c r="F16" s="47" t="n"/>
      <c r="G16" s="47" t="n"/>
      <c r="H16" s="47" t="n"/>
      <c r="I16" s="47" t="n"/>
      <c r="J16" s="47" t="n"/>
      <c r="K16" s="47" t="n"/>
      <c r="L16" s="47" t="n"/>
      <c r="M16" s="47" t="n"/>
    </row>
    <row r="17" ht="15" customHeight="1" s="25">
      <c r="A17" s="46" t="n"/>
      <c r="B17" s="46" t="n"/>
      <c r="C17" s="46" t="n"/>
      <c r="D17" s="46" t="n"/>
      <c r="E17" s="46" t="n"/>
      <c r="F17" s="46" t="n"/>
      <c r="G17" s="46" t="n"/>
      <c r="H17" s="46" t="n"/>
      <c r="I17" s="46" t="n"/>
      <c r="J17" s="46" t="n"/>
      <c r="K17" s="46" t="n"/>
      <c r="L17" s="46" t="n"/>
      <c r="M17" s="46" t="n"/>
    </row>
    <row r="18" ht="15" customHeight="1" s="25">
      <c r="A18" s="47" t="n"/>
      <c r="B18" s="47" t="n"/>
      <c r="C18" s="47" t="n"/>
      <c r="D18" s="47" t="n"/>
      <c r="E18" s="47" t="n"/>
      <c r="F18" s="47" t="n"/>
      <c r="G18" s="47" t="n"/>
      <c r="H18" s="47" t="n"/>
      <c r="I18" s="47" t="n"/>
      <c r="J18" s="47" t="n"/>
      <c r="K18" s="47" t="n"/>
      <c r="L18" s="47" t="n"/>
      <c r="M18" s="47" t="n"/>
    </row>
    <row r="19" ht="15" customHeight="1" s="25">
      <c r="A19" s="46" t="n"/>
      <c r="B19" s="46" t="n"/>
      <c r="C19" s="46" t="n"/>
      <c r="D19" s="46" t="n"/>
      <c r="E19" s="46" t="n"/>
      <c r="F19" s="46" t="n"/>
      <c r="G19" s="46" t="n"/>
      <c r="H19" s="46" t="n"/>
      <c r="I19" s="46" t="n"/>
      <c r="J19" s="46" t="n"/>
      <c r="K19" s="46" t="n"/>
      <c r="L19" s="46" t="n"/>
      <c r="M19" s="46" t="n"/>
    </row>
    <row r="20" ht="15" customHeight="1" s="25">
      <c r="A20" s="47" t="n"/>
      <c r="B20" s="47" t="n"/>
      <c r="C20" s="47" t="n"/>
      <c r="D20" s="47" t="n"/>
      <c r="E20" s="47" t="n"/>
      <c r="F20" s="47" t="n"/>
      <c r="G20" s="47" t="n"/>
      <c r="H20" s="47" t="n"/>
      <c r="I20" s="47" t="n"/>
      <c r="J20" s="47" t="n"/>
      <c r="K20" s="47" t="n"/>
      <c r="L20" s="47" t="n"/>
      <c r="M20" s="47" t="n"/>
    </row>
    <row r="21" ht="15" customHeight="1" s="25">
      <c r="A21" s="46" t="n"/>
      <c r="B21" s="46" t="n"/>
      <c r="C21" s="46" t="n"/>
      <c r="D21" s="46" t="n"/>
      <c r="E21" s="46" t="n"/>
      <c r="F21" s="46" t="n"/>
      <c r="G21" s="46" t="n"/>
      <c r="H21" s="46" t="n"/>
      <c r="I21" s="46" t="n"/>
      <c r="J21" s="46" t="n"/>
      <c r="K21" s="46" t="n"/>
      <c r="L21" s="46" t="n"/>
      <c r="M21" s="46" t="n"/>
    </row>
    <row r="22" ht="15" customHeight="1" s="25">
      <c r="A22" s="47" t="n"/>
      <c r="B22" s="47" t="n"/>
      <c r="C22" s="47" t="n"/>
      <c r="D22" s="47" t="n"/>
      <c r="E22" s="47" t="n"/>
      <c r="F22" s="47" t="n"/>
      <c r="G22" s="47" t="n"/>
      <c r="H22" s="47" t="n"/>
      <c r="I22" s="47" t="n"/>
      <c r="J22" s="47" t="n"/>
      <c r="K22" s="47" t="n"/>
      <c r="L22" s="47" t="n"/>
      <c r="M22" s="47" t="n"/>
    </row>
    <row r="23" ht="15" customHeight="1" s="25">
      <c r="A23" s="46" t="n"/>
      <c r="B23" s="46" t="n"/>
      <c r="C23" s="46" t="n"/>
      <c r="D23" s="46" t="n"/>
      <c r="E23" s="46" t="n"/>
      <c r="F23" s="46" t="n"/>
      <c r="G23" s="46" t="n"/>
      <c r="H23" s="46" t="n"/>
      <c r="I23" s="46" t="n"/>
      <c r="J23" s="46" t="n"/>
      <c r="K23" s="46" t="n"/>
      <c r="L23" s="46" t="n"/>
      <c r="M23" s="46" t="n"/>
    </row>
    <row r="24" ht="15" customHeight="1" s="25">
      <c r="A24" s="47" t="n"/>
      <c r="B24" s="47" t="n"/>
      <c r="C24" s="47" t="n"/>
      <c r="D24" s="47" t="n"/>
      <c r="E24" s="47" t="n"/>
      <c r="F24" s="47" t="n"/>
      <c r="G24" s="47" t="n"/>
      <c r="H24" s="47" t="n"/>
      <c r="I24" s="47" t="n"/>
      <c r="J24" s="47" t="n"/>
      <c r="K24" s="47" t="n"/>
      <c r="L24" s="47" t="n"/>
      <c r="M24"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24" min="1" max="1"/>
    <col width="22" customWidth="1" style="24" min="2" max="2"/>
    <col width="18" customWidth="1" style="24" min="3" max="7"/>
    <col width="22" customWidth="1" style="24" min="8" max="8"/>
    <col width="40" customWidth="1" style="24" min="9" max="9"/>
    <col width="36" customWidth="1" style="24" min="10" max="10"/>
    <col width="22" customWidth="1" style="24" min="11" max="11"/>
  </cols>
  <sheetData>
    <row r="1" ht="43.5" customHeight="1" s="25">
      <c r="A1" s="45" t="inlineStr">
        <is>
          <t>ID</t>
        </is>
      </c>
      <c r="B1" s="45" t="inlineStr">
        <is>
          <t>Entity</t>
        </is>
      </c>
      <c r="C1" s="45" t="inlineStr">
        <is>
          <t>Impact Score / 10</t>
        </is>
      </c>
      <c r="D1" s="45" t="inlineStr">
        <is>
          <t>Urgency Score / 10</t>
        </is>
      </c>
      <c r="E1" s="45" t="inlineStr">
        <is>
          <t>Opportunity Score / 10</t>
        </is>
      </c>
      <c r="F1" s="45" t="inlineStr">
        <is>
          <t>Complexity Score / 10</t>
        </is>
      </c>
      <c r="G1" s="45" t="inlineStr">
        <is>
          <t>Global Score / 100</t>
        </is>
      </c>
      <c r="H1" s="45" t="inlineStr">
        <is>
          <t>Recommended Priority</t>
        </is>
      </c>
      <c r="I1" s="45" t="inlineStr">
        <is>
          <t>Score Rationale</t>
        </is>
      </c>
      <c r="J1" s="45" t="inlineStr">
        <is>
          <t>Recommended Action</t>
        </is>
      </c>
      <c r="K1" s="45" t="inlineStr">
        <is>
          <t>Recommended Owner</t>
        </is>
      </c>
    </row>
    <row r="2" ht="24" customHeight="1" s="25">
      <c r="A2" s="37" t="inlineStr">
        <is>
          <t>ENT-001</t>
        </is>
      </c>
      <c r="B2" s="37" t="inlineStr">
        <is>
          <t>Competitor Alpha</t>
        </is>
      </c>
      <c r="C2" s="37" t="n">
        <v>8</v>
      </c>
      <c r="D2" s="37" t="n">
        <v>7</v>
      </c>
      <c r="E2" s="37" t="n">
        <v>6</v>
      </c>
      <c r="F2" s="37" t="n">
        <v>5</v>
      </c>
      <c r="G2" s="37">
        <f>ROUND(AVERAGE(C2:F2)*10,1)</f>
        <v/>
      </c>
      <c r="H2" s="37">
        <f>IF(G2&gt;=80,"CRITICAL",IF(G2&gt;=65,"HIGH",IF(G2&gt;=45,"MEDIUM","LOW")))</f>
        <v/>
      </c>
      <c r="I2" s="37" t="inlineStr">
        <is>
          <t>Strong market position with recent platform launch increasing competitive pressure</t>
        </is>
      </c>
      <c r="J2" s="37" t="inlineStr">
        <is>
          <t>Map competitive positioning, brief account teams, monitor quarterly</t>
        </is>
      </c>
      <c r="K2" s="37" t="inlineStr">
        <is>
          <t>Strategy &amp; Sales</t>
        </is>
      </c>
    </row>
    <row r="3" ht="24" customHeight="1" s="25">
      <c r="A3" s="37" t="inlineStr">
        <is>
          <t>ENT-002</t>
        </is>
      </c>
      <c r="B3" s="37" t="inlineStr">
        <is>
          <t>Startup Beta</t>
        </is>
      </c>
      <c r="C3" s="37" t="n">
        <v>6</v>
      </c>
      <c r="D3" s="37" t="n">
        <v>9</v>
      </c>
      <c r="E3" s="37" t="n">
        <v>8</v>
      </c>
      <c r="F3" s="37" t="n">
        <v>4</v>
      </c>
      <c r="G3" s="37">
        <f>ROUND(AVERAGE(C3:F3)*10,1)</f>
        <v/>
      </c>
      <c r="H3" s="37">
        <f>IF(G3&gt;=80,"CRITICAL",IF(G3&gt;=65,"HIGH",IF(G3&gt;=45,"MEDIUM","LOW")))</f>
        <v/>
      </c>
      <c r="I3" s="37" t="inlineStr">
        <is>
          <t>Fast-moving, open-source community expanding quickly; urgency high due to talent risk</t>
        </is>
      </c>
      <c r="J3" s="37" t="inlineStr">
        <is>
          <t>Evaluate partnership or targeted talent acquisition</t>
        </is>
      </c>
      <c r="K3" s="37" t="inlineStr">
        <is>
          <t>CTO + Partnership Lead</t>
        </is>
      </c>
    </row>
    <row r="4" ht="24" customHeight="1" s="25">
      <c r="A4" s="37" t="inlineStr">
        <is>
          <t>ENT-003</t>
        </is>
      </c>
      <c r="B4" s="37" t="inlineStr">
        <is>
          <t>Regulation Gamma</t>
        </is>
      </c>
      <c r="C4" s="37" t="n">
        <v>7</v>
      </c>
      <c r="D4" s="37" t="n">
        <v>8</v>
      </c>
      <c r="E4" s="37" t="n">
        <v>5</v>
      </c>
      <c r="F4" s="37" t="n">
        <v>3</v>
      </c>
      <c r="G4" s="37">
        <f>ROUND(AVERAGE(C4:F4)*10,1)</f>
        <v/>
      </c>
      <c r="H4" s="37">
        <f>IF(G4&gt;=80,"CRITICAL",IF(G4&gt;=65,"HIGH",IF(G4&gt;=45,"MEDIUM","LOW")))</f>
        <v/>
      </c>
      <c r="I4" s="37" t="inlineStr">
        <is>
          <t>Regulatory risk with high urgency for compliance certification</t>
        </is>
      </c>
      <c r="J4" s="37" t="inlineStr">
        <is>
          <t>Assign compliance lead, prepare certification roadmap</t>
        </is>
      </c>
      <c r="K4" s="37" t="inlineStr">
        <is>
          <t>Legal + Practice Lead</t>
        </is>
      </c>
    </row>
    <row r="5" ht="15" customHeight="1" s="25">
      <c r="A5" s="46" t="n"/>
      <c r="B5" s="46" t="n"/>
      <c r="C5" s="46" t="n"/>
      <c r="D5" s="46" t="n"/>
      <c r="E5" s="46" t="n"/>
      <c r="F5" s="46" t="n"/>
      <c r="G5" s="46">
        <f>IF(C5="","",ROUND(AVERAGE(C5:F5)*10,1))</f>
        <v/>
      </c>
      <c r="H5" s="46">
        <f>IF(G5="","",IF(G5&gt;=80,"CRITICAL",IF(G5&gt;=65,"HIGH",IF(G5&gt;=45,"MEDIUM","LOW"))))</f>
        <v/>
      </c>
      <c r="I5" s="46" t="n"/>
      <c r="J5" s="46" t="n"/>
      <c r="K5" s="46" t="n"/>
    </row>
    <row r="6" ht="15" customHeight="1" s="25">
      <c r="A6" s="47" t="n"/>
      <c r="B6" s="47" t="n"/>
      <c r="C6" s="47" t="n"/>
      <c r="D6" s="47" t="n"/>
      <c r="E6" s="47" t="n"/>
      <c r="F6" s="47" t="n"/>
      <c r="G6" s="47">
        <f>IF(C6="","",ROUND(AVERAGE(C6:F6)*10,1))</f>
        <v/>
      </c>
      <c r="H6" s="47">
        <f>IF(G6="","",IF(G6&gt;=80,"CRITICAL",IF(G6&gt;=65,"HIGH",IF(G6&gt;=45,"MEDIUM","LOW"))))</f>
        <v/>
      </c>
      <c r="I6" s="47" t="n"/>
      <c r="J6" s="47" t="n"/>
      <c r="K6" s="47" t="n"/>
    </row>
    <row r="7" ht="15" customHeight="1" s="25">
      <c r="A7" s="46" t="n"/>
      <c r="B7" s="46" t="n"/>
      <c r="C7" s="46" t="n"/>
      <c r="D7" s="46" t="n"/>
      <c r="E7" s="46" t="n"/>
      <c r="F7" s="46" t="n"/>
      <c r="G7" s="46">
        <f>IF(C7="","",ROUND(AVERAGE(C7:F7)*10,1))</f>
        <v/>
      </c>
      <c r="H7" s="46">
        <f>IF(G7="","",IF(G7&gt;=80,"CRITICAL",IF(G7&gt;=65,"HIGH",IF(G7&gt;=45,"MEDIUM","LOW"))))</f>
        <v/>
      </c>
      <c r="I7" s="46" t="n"/>
      <c r="J7" s="46" t="n"/>
      <c r="K7" s="46" t="n"/>
    </row>
    <row r="8" ht="15" customHeight="1" s="25">
      <c r="A8" s="47" t="n"/>
      <c r="B8" s="47" t="n"/>
      <c r="C8" s="47" t="n"/>
      <c r="D8" s="47" t="n"/>
      <c r="E8" s="47" t="n"/>
      <c r="F8" s="47" t="n"/>
      <c r="G8" s="47">
        <f>IF(C8="","",ROUND(AVERAGE(C8:F8)*10,1))</f>
        <v/>
      </c>
      <c r="H8" s="47">
        <f>IF(G8="","",IF(G8&gt;=80,"CRITICAL",IF(G8&gt;=65,"HIGH",IF(G8&gt;=45,"MEDIUM","LOW"))))</f>
        <v/>
      </c>
      <c r="I8" s="47" t="n"/>
      <c r="J8" s="47" t="n"/>
      <c r="K8" s="47" t="n"/>
    </row>
    <row r="9" ht="15" customHeight="1" s="25">
      <c r="A9" s="46" t="n"/>
      <c r="B9" s="46" t="n"/>
      <c r="C9" s="46" t="n"/>
      <c r="D9" s="46" t="n"/>
      <c r="E9" s="46" t="n"/>
      <c r="F9" s="46" t="n"/>
      <c r="G9" s="46">
        <f>IF(C9="","",ROUND(AVERAGE(C9:F9)*10,1))</f>
        <v/>
      </c>
      <c r="H9" s="46">
        <f>IF(G9="","",IF(G9&gt;=80,"CRITICAL",IF(G9&gt;=65,"HIGH",IF(G9&gt;=45,"MEDIUM","LOW"))))</f>
        <v/>
      </c>
      <c r="I9" s="46" t="n"/>
      <c r="J9" s="46" t="n"/>
      <c r="K9" s="46" t="n"/>
    </row>
    <row r="10" ht="15" customHeight="1" s="25">
      <c r="A10" s="47" t="n"/>
      <c r="B10" s="47" t="n"/>
      <c r="C10" s="47" t="n"/>
      <c r="D10" s="47" t="n"/>
      <c r="E10" s="47" t="n"/>
      <c r="F10" s="47" t="n"/>
      <c r="G10" s="47">
        <f>IF(C10="","",ROUND(AVERAGE(C10:F10)*10,1))</f>
        <v/>
      </c>
      <c r="H10" s="47">
        <f>IF(G10="","",IF(G10&gt;=80,"CRITICAL",IF(G10&gt;=65,"HIGH",IF(G10&gt;=45,"MEDIUM","LOW"))))</f>
        <v/>
      </c>
      <c r="I10" s="47" t="n"/>
      <c r="J10" s="47" t="n"/>
      <c r="K10" s="47" t="n"/>
    </row>
    <row r="11" ht="15" customHeight="1" s="25">
      <c r="A11" s="46" t="n"/>
      <c r="B11" s="46" t="n"/>
      <c r="C11" s="46" t="n"/>
      <c r="D11" s="46" t="n"/>
      <c r="E11" s="46" t="n"/>
      <c r="F11" s="46" t="n"/>
      <c r="G11" s="46">
        <f>IF(C11="","",ROUND(AVERAGE(C11:F11)*10,1))</f>
        <v/>
      </c>
      <c r="H11" s="46">
        <f>IF(G11="","",IF(G11&gt;=80,"CRITICAL",IF(G11&gt;=65,"HIGH",IF(G11&gt;=45,"MEDIUM","LOW"))))</f>
        <v/>
      </c>
      <c r="I11" s="46" t="n"/>
      <c r="J11" s="46" t="n"/>
      <c r="K11" s="46" t="n"/>
    </row>
    <row r="12" ht="15" customHeight="1" s="25">
      <c r="A12" s="47" t="n"/>
      <c r="B12" s="47" t="n"/>
      <c r="C12" s="47" t="n"/>
      <c r="D12" s="47" t="n"/>
      <c r="E12" s="47" t="n"/>
      <c r="F12" s="47" t="n"/>
      <c r="G12" s="47">
        <f>IF(C12="","",ROUND(AVERAGE(C12:F12)*10,1))</f>
        <v/>
      </c>
      <c r="H12" s="47">
        <f>IF(G12="","",IF(G12&gt;=80,"CRITICAL",IF(G12&gt;=65,"HIGH",IF(G12&gt;=45,"MEDIUM","LOW"))))</f>
        <v/>
      </c>
      <c r="I12" s="47" t="n"/>
      <c r="J12" s="47" t="n"/>
      <c r="K12" s="47" t="n"/>
    </row>
    <row r="13" ht="15" customHeight="1" s="25">
      <c r="A13" s="46" t="n"/>
      <c r="B13" s="46" t="n"/>
      <c r="C13" s="46" t="n"/>
      <c r="D13" s="46" t="n"/>
      <c r="E13" s="46" t="n"/>
      <c r="F13" s="46" t="n"/>
      <c r="G13" s="46">
        <f>IF(C13="","",ROUND(AVERAGE(C13:F13)*10,1))</f>
        <v/>
      </c>
      <c r="H13" s="46">
        <f>IF(G13="","",IF(G13&gt;=80,"CRITICAL",IF(G13&gt;=65,"HIGH",IF(G13&gt;=45,"MEDIUM","LOW"))))</f>
        <v/>
      </c>
      <c r="I13" s="46" t="n"/>
      <c r="J13" s="46" t="n"/>
      <c r="K13" s="46" t="n"/>
    </row>
    <row r="14" ht="15" customHeight="1" s="25">
      <c r="A14" s="47" t="n"/>
      <c r="B14" s="47" t="n"/>
      <c r="C14" s="47" t="n"/>
      <c r="D14" s="47" t="n"/>
      <c r="E14" s="47" t="n"/>
      <c r="F14" s="47" t="n"/>
      <c r="G14" s="47">
        <f>IF(C14="","",ROUND(AVERAGE(C14:F14)*10,1))</f>
        <v/>
      </c>
      <c r="H14" s="47">
        <f>IF(G14="","",IF(G14&gt;=80,"CRITICAL",IF(G14&gt;=65,"HIGH",IF(G14&gt;=45,"MEDIUM","LOW"))))</f>
        <v/>
      </c>
      <c r="I14" s="47" t="n"/>
      <c r="J14" s="47" t="n"/>
      <c r="K14" s="47" t="n"/>
    </row>
    <row r="15" ht="15" customHeight="1" s="25">
      <c r="A15" s="46" t="n"/>
      <c r="B15" s="46" t="n"/>
      <c r="C15" s="46" t="n"/>
      <c r="D15" s="46" t="n"/>
      <c r="E15" s="46" t="n"/>
      <c r="F15" s="46" t="n"/>
      <c r="G15" s="46">
        <f>IF(C15="","",ROUND(AVERAGE(C15:F15)*10,1))</f>
        <v/>
      </c>
      <c r="H15" s="46">
        <f>IF(G15="","",IF(G15&gt;=80,"CRITICAL",IF(G15&gt;=65,"HIGH",IF(G15&gt;=45,"MEDIUM","LOW"))))</f>
        <v/>
      </c>
      <c r="I15" s="46" t="n"/>
      <c r="J15" s="46" t="n"/>
      <c r="K15" s="46" t="n"/>
    </row>
    <row r="16" ht="15" customHeight="1" s="25">
      <c r="A16" s="47" t="n"/>
      <c r="B16" s="47" t="n"/>
      <c r="C16" s="47" t="n"/>
      <c r="D16" s="47" t="n"/>
      <c r="E16" s="47" t="n"/>
      <c r="F16" s="47" t="n"/>
      <c r="G16" s="47">
        <f>IF(C16="","",ROUND(AVERAGE(C16:F16)*10,1))</f>
        <v/>
      </c>
      <c r="H16" s="47">
        <f>IF(G16="","",IF(G16&gt;=80,"CRITICAL",IF(G16&gt;=65,"HIGH",IF(G16&gt;=45,"MEDIUM","LOW"))))</f>
        <v/>
      </c>
      <c r="I16" s="47" t="n"/>
      <c r="J16" s="47" t="n"/>
      <c r="K16" s="47" t="n"/>
    </row>
    <row r="17" ht="15" customHeight="1" s="25">
      <c r="A17" s="46" t="n"/>
      <c r="B17" s="46" t="n"/>
      <c r="C17" s="46" t="n"/>
      <c r="D17" s="46" t="n"/>
      <c r="E17" s="46" t="n"/>
      <c r="F17" s="46" t="n"/>
      <c r="G17" s="46">
        <f>IF(C17="","",ROUND(AVERAGE(C17:F17)*10,1))</f>
        <v/>
      </c>
      <c r="H17" s="46">
        <f>IF(G17="","",IF(G17&gt;=80,"CRITICAL",IF(G17&gt;=65,"HIGH",IF(G17&gt;=45,"MEDIUM","LOW"))))</f>
        <v/>
      </c>
      <c r="I17" s="46" t="n"/>
      <c r="J17" s="46" t="n"/>
      <c r="K17" s="46" t="n"/>
    </row>
    <row r="18" ht="15" customHeight="1" s="25">
      <c r="A18" s="47" t="n"/>
      <c r="B18" s="47" t="n"/>
      <c r="C18" s="47" t="n"/>
      <c r="D18" s="47" t="n"/>
      <c r="E18" s="47" t="n"/>
      <c r="F18" s="47" t="n"/>
      <c r="G18" s="47">
        <f>IF(C18="","",ROUND(AVERAGE(C18:F18)*10,1))</f>
        <v/>
      </c>
      <c r="H18" s="47">
        <f>IF(G18="","",IF(G18&gt;=80,"CRITICAL",IF(G18&gt;=65,"HIGH",IF(G18&gt;=45,"MEDIUM","LOW"))))</f>
        <v/>
      </c>
      <c r="I18" s="47" t="n"/>
      <c r="J18" s="47" t="n"/>
      <c r="K18" s="47" t="n"/>
    </row>
    <row r="19" ht="15" customHeight="1" s="25">
      <c r="A19" s="46" t="n"/>
      <c r="B19" s="46" t="n"/>
      <c r="C19" s="46" t="n"/>
      <c r="D19" s="46" t="n"/>
      <c r="E19" s="46" t="n"/>
      <c r="F19" s="46" t="n"/>
      <c r="G19" s="46">
        <f>IF(C19="","",ROUND(AVERAGE(C19:F19)*10,1))</f>
        <v/>
      </c>
      <c r="H19" s="46">
        <f>IF(G19="","",IF(G19&gt;=80,"CRITICAL",IF(G19&gt;=65,"HIGH",IF(G19&gt;=45,"MEDIUM","LOW"))))</f>
        <v/>
      </c>
      <c r="I19" s="46" t="n"/>
      <c r="J19" s="46" t="n"/>
      <c r="K19" s="46" t="n"/>
    </row>
    <row r="20" ht="15" customHeight="1" s="25">
      <c r="A20" s="47" t="n"/>
      <c r="B20" s="47" t="n"/>
      <c r="C20" s="47" t="n"/>
      <c r="D20" s="47" t="n"/>
      <c r="E20" s="47" t="n"/>
      <c r="F20" s="47" t="n"/>
      <c r="G20" s="47">
        <f>IF(C20="","",ROUND(AVERAGE(C20:F20)*10,1))</f>
        <v/>
      </c>
      <c r="H20" s="47">
        <f>IF(G20="","",IF(G20&gt;=80,"CRITICAL",IF(G20&gt;=65,"HIGH",IF(G20&gt;=45,"MEDIUM","LOW"))))</f>
        <v/>
      </c>
      <c r="I20" s="47" t="n"/>
      <c r="J20" s="47" t="n"/>
      <c r="K20" s="47" t="n"/>
    </row>
    <row r="21" ht="15" customHeight="1" s="25">
      <c r="A21" s="46" t="n"/>
      <c r="B21" s="46" t="n"/>
      <c r="C21" s="46" t="n"/>
      <c r="D21" s="46" t="n"/>
      <c r="E21" s="46" t="n"/>
      <c r="F21" s="46" t="n"/>
      <c r="G21" s="46">
        <f>IF(C21="","",ROUND(AVERAGE(C21:F21)*10,1))</f>
        <v/>
      </c>
      <c r="H21" s="46">
        <f>IF(G21="","",IF(G21&gt;=80,"CRITICAL",IF(G21&gt;=65,"HIGH",IF(G21&gt;=45,"MEDIUM","LOW"))))</f>
        <v/>
      </c>
      <c r="I21" s="46" t="n"/>
      <c r="J21" s="46" t="n"/>
      <c r="K21" s="46" t="n"/>
    </row>
    <row r="22" ht="15" customHeight="1" s="25">
      <c r="A22" s="47" t="n"/>
      <c r="B22" s="47" t="n"/>
      <c r="C22" s="47" t="n"/>
      <c r="D22" s="47" t="n"/>
      <c r="E22" s="47" t="n"/>
      <c r="F22" s="47" t="n"/>
      <c r="G22" s="47">
        <f>IF(C22="","",ROUND(AVERAGE(C22:F22)*10,1))</f>
        <v/>
      </c>
      <c r="H22" s="47">
        <f>IF(G22="","",IF(G22&gt;=80,"CRITICAL",IF(G22&gt;=65,"HIGH",IF(G22&gt;=45,"MEDIUM","LOW"))))</f>
        <v/>
      </c>
      <c r="I22" s="47" t="n"/>
      <c r="J22" s="47" t="n"/>
      <c r="K22" s="47" t="n"/>
    </row>
    <row r="23" ht="15" customHeight="1" s="25">
      <c r="A23" s="46" t="n"/>
      <c r="B23" s="46" t="n"/>
      <c r="C23" s="46" t="n"/>
      <c r="D23" s="46" t="n"/>
      <c r="E23" s="46" t="n"/>
      <c r="F23" s="46" t="n"/>
      <c r="G23" s="46">
        <f>IF(C23="","",ROUND(AVERAGE(C23:F23)*10,1))</f>
        <v/>
      </c>
      <c r="H23" s="46">
        <f>IF(G23="","",IF(G23&gt;=80,"CRITICAL",IF(G23&gt;=65,"HIGH",IF(G23&gt;=45,"MEDIUM","LOW"))))</f>
        <v/>
      </c>
      <c r="I23" s="46" t="n"/>
      <c r="J23" s="46" t="n"/>
      <c r="K23" s="46" t="n"/>
    </row>
    <row r="24" ht="15" customHeight="1" s="25">
      <c r="A24" s="47" t="n"/>
      <c r="B24" s="47" t="n"/>
      <c r="C24" s="47" t="n"/>
      <c r="D24" s="47" t="n"/>
      <c r="E24" s="47" t="n"/>
      <c r="F24" s="47" t="n"/>
      <c r="G24" s="47">
        <f>IF(C24="","",ROUND(AVERAGE(C24:F24)*10,1))</f>
        <v/>
      </c>
      <c r="H24" s="47">
        <f>IF(G24="","",IF(G24&gt;=80,"CRITICAL",IF(G24&gt;=65,"HIGH",IF(G24&gt;=45,"MEDIUM","LOW"))))</f>
        <v/>
      </c>
      <c r="I24" s="47" t="n"/>
      <c r="J24" s="47" t="n"/>
      <c r="K24"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24" min="1" max="1"/>
    <col width="30" customWidth="1" style="24" min="2" max="2"/>
    <col width="40" customWidth="1" style="24" min="3" max="3"/>
    <col width="30" customWidth="1" style="24" min="4" max="7"/>
    <col width="50" customWidth="1" style="24" min="8" max="8"/>
  </cols>
  <sheetData>
    <row r="1" ht="36" customHeight="1" s="25">
      <c r="A1" s="45" t="inlineStr">
        <is>
          <t>Week / Date</t>
        </is>
      </c>
      <c r="B1" s="45" t="inlineStr">
        <is>
          <t>Top Entities to Watch</t>
        </is>
      </c>
      <c r="C1" s="45" t="inlineStr">
        <is>
          <t>Major Signals of the Week</t>
        </is>
      </c>
      <c r="D1" s="45" t="inlineStr">
        <is>
          <t>New Movements Detected</t>
        </is>
      </c>
      <c r="E1" s="45" t="inlineStr">
        <is>
          <t>Key Risks / Threats</t>
        </is>
      </c>
      <c r="F1" s="45" t="inlineStr">
        <is>
          <t>Identified Opportunities</t>
        </is>
      </c>
      <c r="G1" s="45" t="inlineStr">
        <is>
          <t>Decisions to Make</t>
        </is>
      </c>
      <c r="H1" s="45" t="inlineStr">
        <is>
          <t>Key Message for Leadership</t>
        </is>
      </c>
    </row>
    <row r="2" ht="79.5" customHeight="1" s="25">
      <c r="A2" s="37" t="inlineStr">
        <is>
          <t>W24 — 11 Jun 2026</t>
        </is>
      </c>
      <c r="B2" s="37" t="inlineStr">
        <is>
          <t>Competitor Alpha, Startup Beta, Regulation Gamma</t>
        </is>
      </c>
      <c r="C2" s="37" t="inlineStr">
        <is>
          <t>Alpha launched AI Platform 2.0; Beta open-sourced a competitive LLM; EU published new AI compliance standards for high-risk systems</t>
        </is>
      </c>
      <c r="D2" s="37" t="inlineStr">
        <is>
          <t>Competitor Alpha entering enterprise segment with new pricing; Startup Beta building a developer ecosystem through open-source</t>
        </is>
      </c>
      <c r="E2" s="37" t="inlineStr">
        <is>
          <t>Platform commoditization risk; talent attraction by open-source communities; compliance deadline pressure for AI Act</t>
        </is>
      </c>
      <c r="F2" s="37" t="inlineStr">
        <is>
          <t>Partner with Startup Beta for R&amp;D; leverage early AI Act compliance as a market differentiator</t>
        </is>
      </c>
      <c r="G2" s="37" t="inlineStr">
        <is>
          <t>Assign AI Act compliance lead; initiate competitive assessment of Alpha's new platform by end of week</t>
        </is>
      </c>
      <c r="H2" s="37" t="inlineStr">
        <is>
          <t>Three signals this week require immediate attention: platform competition is intensifying, regulatory deadlines are approaching, and open-source disruption is accelerating. Recommend executive review.</t>
        </is>
      </c>
    </row>
    <row r="5" ht="60" customHeight="1" s="25">
      <c r="A5" s="46" t="n"/>
      <c r="B5" s="46" t="n"/>
      <c r="C5" s="46" t="n"/>
      <c r="D5" s="46" t="n"/>
      <c r="E5" s="46" t="n"/>
      <c r="F5" s="46" t="n"/>
      <c r="G5" s="46" t="n"/>
      <c r="H5" s="46" t="n"/>
    </row>
    <row r="6" ht="60" customHeight="1" s="25">
      <c r="A6" s="47" t="n"/>
      <c r="B6" s="47" t="n"/>
      <c r="C6" s="47" t="n"/>
      <c r="D6" s="47" t="n"/>
      <c r="E6" s="47" t="n"/>
      <c r="F6" s="47" t="n"/>
      <c r="G6" s="47" t="n"/>
      <c r="H6" s="47" t="n"/>
    </row>
    <row r="7" ht="60" customHeight="1" s="25">
      <c r="A7" s="46" t="n"/>
      <c r="B7" s="46" t="n"/>
      <c r="C7" s="46" t="n"/>
      <c r="D7" s="46" t="n"/>
      <c r="E7" s="46" t="n"/>
      <c r="F7" s="46" t="n"/>
      <c r="G7" s="46" t="n"/>
      <c r="H7" s="46" t="n"/>
    </row>
    <row r="8" ht="60" customHeight="1" s="25">
      <c r="A8" s="47" t="n"/>
      <c r="B8" s="47" t="n"/>
      <c r="C8" s="47" t="n"/>
      <c r="D8" s="47" t="n"/>
      <c r="E8" s="47" t="n"/>
      <c r="F8" s="47" t="n"/>
      <c r="G8" s="47" t="n"/>
      <c r="H8" s="47" t="n"/>
    </row>
    <row r="9" ht="60" customHeight="1" s="25">
      <c r="A9" s="46" t="n"/>
      <c r="B9" s="46" t="n"/>
      <c r="C9" s="46" t="n"/>
      <c r="D9" s="46" t="n"/>
      <c r="E9" s="46" t="n"/>
      <c r="F9" s="46" t="n"/>
      <c r="G9" s="46" t="n"/>
      <c r="H9" s="46" t="n"/>
    </row>
    <row r="10" ht="60" customHeight="1" s="25">
      <c r="A10" s="47" t="n"/>
      <c r="B10" s="47" t="n"/>
      <c r="C10" s="47" t="n"/>
      <c r="D10" s="47" t="n"/>
      <c r="E10" s="47" t="n"/>
      <c r="F10" s="47" t="n"/>
      <c r="G10" s="47" t="n"/>
      <c r="H10" s="47" t="n"/>
    </row>
    <row r="11" ht="60" customHeight="1" s="25">
      <c r="A11" s="46" t="n"/>
      <c r="B11" s="46" t="n"/>
      <c r="C11" s="46" t="n"/>
      <c r="D11" s="46" t="n"/>
      <c r="E11" s="46" t="n"/>
      <c r="F11" s="46" t="n"/>
      <c r="G11" s="46" t="n"/>
      <c r="H11" s="46" t="n"/>
    </row>
    <row r="12" ht="60" customHeight="1" s="25">
      <c r="A12" s="47" t="n"/>
      <c r="B12" s="47" t="n"/>
      <c r="C12" s="47" t="n"/>
      <c r="D12" s="47" t="n"/>
      <c r="E12" s="47" t="n"/>
      <c r="F12" s="47" t="n"/>
      <c r="G12" s="47" t="n"/>
      <c r="H12" s="47" t="n"/>
    </row>
    <row r="13" ht="60" customHeight="1" s="25">
      <c r="A13" s="46" t="n"/>
      <c r="B13" s="46" t="n"/>
      <c r="C13" s="46" t="n"/>
      <c r="D13" s="46" t="n"/>
      <c r="E13" s="46" t="n"/>
      <c r="F13" s="46" t="n"/>
      <c r="G13" s="46" t="n"/>
      <c r="H13" s="46" t="n"/>
    </row>
    <row r="14" ht="60" customHeight="1" s="25">
      <c r="A14" s="47" t="n"/>
      <c r="B14" s="47" t="n"/>
      <c r="C14" s="47" t="n"/>
      <c r="D14" s="47" t="n"/>
      <c r="E14" s="47" t="n"/>
      <c r="F14" s="47" t="n"/>
      <c r="G14" s="47" t="n"/>
      <c r="H14" s="47" t="n"/>
    </row>
    <row r="15" ht="60" customHeight="1" s="25">
      <c r="A15" s="46" t="n"/>
      <c r="B15" s="46" t="n"/>
      <c r="C15" s="46" t="n"/>
      <c r="D15" s="46" t="n"/>
      <c r="E15" s="46" t="n"/>
      <c r="F15" s="46" t="n"/>
      <c r="G15" s="46" t="n"/>
      <c r="H15" s="46" t="n"/>
    </row>
    <row r="16" ht="60" customHeight="1" s="25">
      <c r="A16" s="47" t="n"/>
      <c r="B16" s="47" t="n"/>
      <c r="C16" s="47" t="n"/>
      <c r="D16" s="47" t="n"/>
      <c r="E16" s="47" t="n"/>
      <c r="F16" s="47" t="n"/>
      <c r="G16" s="47" t="n"/>
      <c r="H16" s="47" t="n"/>
    </row>
    <row r="17" ht="60" customHeight="1" s="25">
      <c r="A17" s="46" t="n"/>
      <c r="B17" s="46" t="n"/>
      <c r="C17" s="46" t="n"/>
      <c r="D17" s="46" t="n"/>
      <c r="E17" s="46" t="n"/>
      <c r="F17" s="46" t="n"/>
      <c r="G17" s="46" t="n"/>
      <c r="H17" s="46" t="n"/>
    </row>
    <row r="18" ht="60" customHeight="1" s="25">
      <c r="A18" s="47" t="n"/>
      <c r="B18" s="47" t="n"/>
      <c r="C18" s="47" t="n"/>
      <c r="D18" s="47" t="n"/>
      <c r="E18" s="47" t="n"/>
      <c r="F18" s="47" t="n"/>
      <c r="G18" s="47" t="n"/>
      <c r="H18" s="47" t="n"/>
    </row>
    <row r="19" ht="60" customHeight="1" s="25">
      <c r="A19" s="46" t="n"/>
      <c r="B19" s="46" t="n"/>
      <c r="C19" s="46" t="n"/>
      <c r="D19" s="46" t="n"/>
      <c r="E19" s="46" t="n"/>
      <c r="F19" s="46" t="n"/>
      <c r="G19" s="46" t="n"/>
      <c r="H19" s="46" t="n"/>
    </row>
    <row r="20" ht="60" customHeight="1" s="25">
      <c r="A20" s="47" t="n"/>
      <c r="B20" s="47" t="n"/>
      <c r="C20" s="47" t="n"/>
      <c r="D20" s="47" t="n"/>
      <c r="E20" s="47" t="n"/>
      <c r="F20" s="47" t="n"/>
      <c r="G20" s="47" t="n"/>
      <c r="H20" s="47" t="n"/>
    </row>
    <row r="21" ht="60" customHeight="1" s="25">
      <c r="A21" s="46" t="n"/>
      <c r="B21" s="46" t="n"/>
      <c r="C21" s="46" t="n"/>
      <c r="D21" s="46" t="n"/>
      <c r="E21" s="46" t="n"/>
      <c r="F21" s="46" t="n"/>
      <c r="G21" s="46" t="n"/>
      <c r="H21" s="46" t="n"/>
    </row>
    <row r="22" ht="60" customHeight="1" s="25">
      <c r="A22" s="47" t="n"/>
      <c r="B22" s="47" t="n"/>
      <c r="C22" s="47" t="n"/>
      <c r="D22" s="47" t="n"/>
      <c r="E22" s="47" t="n"/>
      <c r="F22" s="47" t="n"/>
      <c r="G22" s="47" t="n"/>
      <c r="H22"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2026-06-12T06:16:44Z</dcterms:created>
  <dcterms:modified xmlns:dcterms="http://purl.org/dc/terms/" xmlns:xsi="http://www.w3.org/2001/XMLSchema-instance" xsi:type="dcterms:W3CDTF">2026-07-14T10:59:38Z</dcterms:modified>
  <cp:revision>0</cp:revision>
</cp:coreProperties>
</file>