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00_README" sheetId="1" state="visible" r:id="rId3"/>
    <sheet name="01_Input" sheetId="2" state="visible" r:id="rId4"/>
    <sheet name="02_Enrichment" sheetId="3" state="visible" r:id="rId5"/>
    <sheet name="03_Scoring" sheetId="4" state="visible" r:id="rId6"/>
    <sheet name="04_Weekly_Summary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<sst xmlns="http://schemas.openxmlformats.org/spreadsheetml/2006/main" count="197" uniqueCount="178">
  <si>
    <t xml:space="preserve">📊  RADAR Template — Strategic Intelligence Workbook</t>
  </si>
  <si>
    <t xml:space="preserve">Universal monitoring template — adapt to any type of entity (competitors, clients, regulations, technologies…)</t>
  </si>
  <si>
    <t xml:space="preserve">ℹ️  ABOUT THIS TEMPLATE</t>
  </si>
  <si>
    <t xml:space="preserve">Purpose</t>
  </si>
  <si>
    <t xml:space="preserve">Track and monitor any type of entity (companies, regulators, clients, technologies) by logging signals, scoring their priority, and maintaining a weekly history.</t>
  </si>
  <si>
    <t xml:space="preserve">Structure</t>
  </si>
  <si>
    <t xml:space="preserve">4 sheets:  01_Input (scope)  →  02_Enrichment (signals)  →  03_Scoring (priority)  →  04_Weekly_Summary (history)</t>
  </si>
  <si>
    <t xml:space="preserve">Adaptability</t>
  </si>
  <si>
    <t xml:space="preserve">Rename entities, adjust monitoring domains, and reword column headers to fit your radar type. See last section for examples.</t>
  </si>
  <si>
    <t xml:space="preserve">⚠️  THE GREY &amp; ITALIC ROWS — READ THIS FIRST</t>
  </si>
  <si>
    <t xml:space="preserve">What they are</t>
  </si>
  <si>
    <t xml:space="preserve">Rows 2, 3 and 4 in each data sheet are EXAMPLE rows.
They show you what kind of data to enter. They are formatted italic + grey so you can immediately distinguish them from real data.</t>
  </si>
  <si>
    <t xml:space="preserve">What to do with them</t>
  </si>
  <si>
    <t xml:space="preserve">REPLACE them with your own entries before use.
Simply overwrite the values in rows 2–4, or delete those rows and start entering your data from row 2.</t>
  </si>
  <si>
    <t xml:space="preserve">Formulas (03_Scoring)</t>
  </si>
  <si>
    <t xml:space="preserve">Columns G (Global Score) and H (Priority) are pre-filled with formulas for ALL rows — keep them. Just fill in columns C–F with your scores.</t>
  </si>
  <si>
    <t xml:space="preserve">🎨  COLOUR &amp; STYLE GUIDE</t>
  </si>
  <si>
    <t xml:space="preserve">Dark navy header (row 1)</t>
  </si>
  <si>
    <t xml:space="preserve">Column headers — do not modify or delete</t>
  </si>
  <si>
    <t xml:space="preserve">Grey + italic (rows 2–4)</t>
  </si>
  <si>
    <t xml:space="preserve">EXAMPLE data — replace with your own entries. These rows are placeholders only.</t>
  </si>
  <si>
    <t xml:space="preserve">Blue text (rows 5+)</t>
  </si>
  <si>
    <t xml:space="preserve">Auto-calculated formulas in 03_Scoring — do not overwrite these cells</t>
  </si>
  <si>
    <t xml:space="preserve">Alternating rows (rows 5+)</t>
  </si>
  <si>
    <t xml:space="preserve">Empty ready-to-fill working rows</t>
  </si>
  <si>
    <t xml:space="preserve">📋  SHEETS OVERVIEW</t>
  </si>
  <si>
    <t xml:space="preserve">01_Input</t>
  </si>
  <si>
    <t xml:space="preserve">Define your monitoring scope. One row per entity. Describe who/what you track, why, and what strategic questions you want to answer.</t>
  </si>
  <si>
    <t xml:space="preserve">02_Enrichment</t>
  </si>
  <si>
    <t xml:space="preserve">Log signals for each entity: latest news or development, date, source, category, potential impact, risks, and opportunities detected.</t>
  </si>
  <si>
    <t xml:space="preserve">03_Scoring</t>
  </si>
  <si>
    <t xml:space="preserve">Score each entity on 4 dimensions (Impact, Urgency, Opportunity, Complexity) out of 10. The Global Score /100 and Priority label are auto-calculated.</t>
  </si>
  <si>
    <t xml:space="preserve">04_Weekly_Summary</t>
  </si>
  <si>
    <t xml:space="preserve">Append one row per session or week. Captures key signals, risks, opportunities, decisions and the message to share with stakeholders.</t>
  </si>
  <si>
    <t xml:space="preserve">🚀  HOW TO USE THIS TEMPLATE</t>
  </si>
  <si>
    <t xml:space="preserve">Step 1 — Define scope</t>
  </si>
  <si>
    <t xml:space="preserve">Fill in 01_Input: list all entities you want to monitor, their type, geography, domain, and why each matters.</t>
  </si>
  <si>
    <t xml:space="preserve">Step 2 — Collect signals</t>
  </si>
  <si>
    <t xml:space="preserve">Fill in 02_Enrichment: for each entity, log the latest signal — what happened, when, where, and what it means.</t>
  </si>
  <si>
    <t xml:space="preserve">Step 3 — Score and prioritize</t>
  </si>
  <si>
    <t xml:space="preserve">In 03_Scoring, enter your scores in columns C–F. The Global Score and Priority label are calculated automatically.</t>
  </si>
  <si>
    <t xml:space="preserve">Step 4 — Record your synthesis</t>
  </si>
  <si>
    <t xml:space="preserve">Add one row to 04_Weekly_Summary: key signals, risks, opportunities, and the message to share with leadership.</t>
  </si>
  <si>
    <t xml:space="preserve">🔢  SCORING FORMULA (03_Scoring)</t>
  </si>
  <si>
    <t xml:space="preserve">Global Score formula</t>
  </si>
  <si>
    <t xml:space="preserve">AVERAGE(Impact, Urgency, Opportunity, Complexity) × 10   →   scale 0–100</t>
  </si>
  <si>
    <t xml:space="preserve">CRITICAL  (score ≥ 80)</t>
  </si>
  <si>
    <t xml:space="preserve">Immediate action required — escalate to leadership</t>
  </si>
  <si>
    <t xml:space="preserve">HIGH  (score 65–79)</t>
  </si>
  <si>
    <t xml:space="preserve">High priority — assign owner, act within 2 weeks</t>
  </si>
  <si>
    <t xml:space="preserve">MEDIUM  (score 45–64)</t>
  </si>
  <si>
    <t xml:space="preserve">Monitor closely — plan action within 30 days</t>
  </si>
  <si>
    <t xml:space="preserve">LOW  (score &lt; 45)</t>
  </si>
  <si>
    <t xml:space="preserve">Watch — no immediate action required</t>
  </si>
  <si>
    <t xml:space="preserve">🔄  ADAPTING TO ANY RADAR TYPE</t>
  </si>
  <si>
    <t xml:space="preserve">Competitor radar</t>
  </si>
  <si>
    <t xml:space="preserve">Entities = companies/competitors  ·  Signals = product launches, partnerships, funding  ·  Domain = your market segments</t>
  </si>
  <si>
    <t xml:space="preserve">Regulatory radar</t>
  </si>
  <si>
    <t xml:space="preserve">Entities = laws, standards, regulators  ·  Signals = consultations, publications, enforcement  ·  Domain = compliance areas</t>
  </si>
  <si>
    <t xml:space="preserve">Client radar</t>
  </si>
  <si>
    <t xml:space="preserve">Entities = client/prospect accounts  ·  Signals = contract signals, leadership changes, strategic shifts  ·  Domain = account segments</t>
  </si>
  <si>
    <t xml:space="preserve">Technology radar</t>
  </si>
  <si>
    <t xml:space="preserve">Entities = technologies, tools, platforms  ·  Signals = adoption news, open-source releases, analyst reports  ·  Domain = tech categories</t>
  </si>
  <si>
    <t xml:space="preserve">ID</t>
  </si>
  <si>
    <t xml:space="preserve">Entity</t>
  </si>
  <si>
    <t xml:space="preserve">Entity Type</t>
  </si>
  <si>
    <t xml:space="preserve">Geography</t>
  </si>
  <si>
    <t xml:space="preserve">Monitoring Domain</t>
  </si>
  <si>
    <t xml:space="preserve">Attention Level</t>
  </si>
  <si>
    <t xml:space="preserve">Why We Track It</t>
  </si>
  <si>
    <t xml:space="preserve">Strategic Question</t>
  </si>
  <si>
    <t xml:space="preserve">Opportunity Angle</t>
  </si>
  <si>
    <t xml:space="preserve">Participant Comment</t>
  </si>
  <si>
    <t xml:space="preserve">ENT-001</t>
  </si>
  <si>
    <t xml:space="preserve">Competitor Alpha</t>
  </si>
  <si>
    <t xml:space="preserve">Global Integrator</t>
  </si>
  <si>
    <t xml:space="preserve">North America</t>
  </si>
  <si>
    <t xml:space="preserve">AI &amp; Automation</t>
  </si>
  <si>
    <t xml:space="preserve">HIGH</t>
  </si>
  <si>
    <t xml:space="preserve">Fast-growing AI platform with direct market overlap</t>
  </si>
  <si>
    <t xml:space="preserve">How quickly are they scaling GenAI enterprise services?</t>
  </si>
  <si>
    <t xml:space="preserve">White-label partnership opportunity</t>
  </si>
  <si>
    <t xml:space="preserve">Review quarterly</t>
  </si>
  <si>
    <t xml:space="preserve">ENT-002</t>
  </si>
  <si>
    <t xml:space="preserve">Startup Beta</t>
  </si>
  <si>
    <t xml:space="preserve">AI-Native Startup</t>
  </si>
  <si>
    <t xml:space="preserve">Europe</t>
  </si>
  <si>
    <t xml:space="preserve">Generative AI</t>
  </si>
  <si>
    <t xml:space="preserve">CRITICAL</t>
  </si>
  <si>
    <t xml:space="preserve">Released open-source LLM with rapid developer adoption</t>
  </si>
  <si>
    <t xml:space="preserve">Is their model a direct substitute for ours?</t>
  </si>
  <si>
    <t xml:space="preserve">Base model for internal R&amp;D projects</t>
  </si>
  <si>
    <t xml:space="preserve">Escalate to leadership</t>
  </si>
  <si>
    <t xml:space="preserve">ENT-003</t>
  </si>
  <si>
    <t xml:space="preserve">Regulation Gamma</t>
  </si>
  <si>
    <t xml:space="preserve">Regulatory Body</t>
  </si>
  <si>
    <t xml:space="preserve">European Union</t>
  </si>
  <si>
    <t xml:space="preserve">AI Compliance</t>
  </si>
  <si>
    <t xml:space="preserve">MEDIUM</t>
  </si>
  <si>
    <t xml:space="preserve">New enforcement guidelines impacting AI deployments</t>
  </si>
  <si>
    <t xml:space="preserve">What compliance deadlines apply to our products?</t>
  </si>
  <si>
    <t xml:space="preserve">Early compliance = competitive differentiator</t>
  </si>
  <si>
    <t xml:space="preserve">Assign to legal team</t>
  </si>
  <si>
    <t xml:space="preserve">Latest Signal Detected</t>
  </si>
  <si>
    <t xml:space="preserve">Date</t>
  </si>
  <si>
    <t xml:space="preserve">Source</t>
  </si>
  <si>
    <t xml:space="preserve">Signal Category</t>
  </si>
  <si>
    <t xml:space="preserve">Domain / Sector</t>
  </si>
  <si>
    <t xml:space="preserve">Signal Description</t>
  </si>
  <si>
    <t xml:space="preserve">Potential Impact</t>
  </si>
  <si>
    <t xml:space="preserve">Identified Risk</t>
  </si>
  <si>
    <t xml:space="preserve">Detected Opportunity</t>
  </si>
  <si>
    <t xml:space="preserve">Information Freshness</t>
  </si>
  <si>
    <t xml:space="preserve">Information Confidence</t>
  </si>
  <si>
    <t xml:space="preserve">Launched AI Platform 2.0 with enterprise focus</t>
  </si>
  <si>
    <t xml:space="preserve">2026-06-01</t>
  </si>
  <si>
    <t xml:space="preserve">techcrunch.com</t>
  </si>
  <si>
    <t xml:space="preserve">Product Launch</t>
  </si>
  <si>
    <t xml:space="preserve">Cloud / AI</t>
  </si>
  <si>
    <t xml:space="preserve">Announced major AI platform update targeting enterprise clients with embedded GenAI capabilities</t>
  </si>
  <si>
    <t xml:space="preserve">High — direct competition in our core market segment</t>
  </si>
  <si>
    <t xml:space="preserve">Risk of client migration to their platform</t>
  </si>
  <si>
    <t xml:space="preserve">Partner or compete differentiation opportunity</t>
  </si>
  <si>
    <t xml:space="preserve">2 weeks</t>
  </si>
  <si>
    <t xml:space="preserve">High</t>
  </si>
  <si>
    <t xml:space="preserve">Open-sourced a competitive language model</t>
  </si>
  <si>
    <t xml:space="preserve">2026-05-28</t>
  </si>
  <si>
    <t xml:space="preserve">venturebeat.com</t>
  </si>
  <si>
    <t xml:space="preserve">Open Source Release</t>
  </si>
  <si>
    <t xml:space="preserve">Released a lightweight 7B-parameter model under MIT license, gaining rapid developer community traction</t>
  </si>
  <si>
    <t xml:space="preserve">Medium — indirect but growing threat</t>
  </si>
  <si>
    <t xml:space="preserve">Talent and ecosystem attraction risk</t>
  </si>
  <si>
    <t xml:space="preserve">Leverage as base model for internal projects</t>
  </si>
  <si>
    <t xml:space="preserve">3 weeks</t>
  </si>
  <si>
    <t xml:space="preserve">Medium</t>
  </si>
  <si>
    <t xml:space="preserve">Published updated AI compliance technical standards</t>
  </si>
  <si>
    <t xml:space="preserve">2026-06-05</t>
  </si>
  <si>
    <t xml:space="preserve">ec.europa.eu</t>
  </si>
  <si>
    <t xml:space="preserve">Regulatory Update</t>
  </si>
  <si>
    <t xml:space="preserve">Published detailed technical standards for high-risk AI systems, with enforcement effective Q1 2027</t>
  </si>
  <si>
    <t xml:space="preserve">Medium — compliance cost and timeline impact</t>
  </si>
  <si>
    <t xml:space="preserve">Non-compliance penalties and delayed product deployment</t>
  </si>
  <si>
    <t xml:space="preserve">First-mover advantage in certified AI services</t>
  </si>
  <si>
    <t xml:space="preserve">1 week</t>
  </si>
  <si>
    <t xml:space="preserve">Impact Score / 10</t>
  </si>
  <si>
    <t xml:space="preserve">Urgency Score / 10</t>
  </si>
  <si>
    <t xml:space="preserve">Opportunity Score / 10</t>
  </si>
  <si>
    <t xml:space="preserve">Complexity Score / 10</t>
  </si>
  <si>
    <t xml:space="preserve">Global Score / 100</t>
  </si>
  <si>
    <t xml:space="preserve">Recommended Priority</t>
  </si>
  <si>
    <t xml:space="preserve">Score Rationale</t>
  </si>
  <si>
    <t xml:space="preserve">Recommended Action</t>
  </si>
  <si>
    <t xml:space="preserve">Recommended Owner</t>
  </si>
  <si>
    <t xml:space="preserve">Strong market position with recent platform launch increasing competitive pressure</t>
  </si>
  <si>
    <t xml:space="preserve">Map competitive positioning, brief account teams, monitor quarterly</t>
  </si>
  <si>
    <t xml:space="preserve">Strategy &amp; Sales</t>
  </si>
  <si>
    <t xml:space="preserve">Fast-moving, open-source community expanding quickly; urgency high due to talent risk</t>
  </si>
  <si>
    <t xml:space="preserve">Evaluate partnership or targeted talent acquisition</t>
  </si>
  <si>
    <t xml:space="preserve">CTO + Partnership Lead</t>
  </si>
  <si>
    <t xml:space="preserve">Regulatory risk with high urgency for compliance certification</t>
  </si>
  <si>
    <t xml:space="preserve">Assign compliance lead, prepare certification roadmap</t>
  </si>
  <si>
    <t xml:space="preserve">Legal + Practice Lead</t>
  </si>
  <si>
    <t xml:space="preserve">Week / Date</t>
  </si>
  <si>
    <t xml:space="preserve">Top Entities to Watch</t>
  </si>
  <si>
    <t xml:space="preserve">Major Signals of the Week</t>
  </si>
  <si>
    <t xml:space="preserve">New Movements Detected</t>
  </si>
  <si>
    <t xml:space="preserve">Key Risks / Threats</t>
  </si>
  <si>
    <t xml:space="preserve">Identified Opportunities</t>
  </si>
  <si>
    <t xml:space="preserve">Decisions to Make</t>
  </si>
  <si>
    <t xml:space="preserve">Key Message for Leadership</t>
  </si>
  <si>
    <t xml:space="preserve">W24 — 11 Jun 2026</t>
  </si>
  <si>
    <t xml:space="preserve">Competitor Alpha, Startup Beta, Regulation Gamma</t>
  </si>
  <si>
    <t xml:space="preserve">Alpha launched AI Platform 2.0; Beta open-sourced a competitive LLM; EU published new AI compliance standards for high-risk systems</t>
  </si>
  <si>
    <t xml:space="preserve">Competitor Alpha entering enterprise segment with new pricing; Startup Beta building a developer ecosystem through open-source</t>
  </si>
  <si>
    <t xml:space="preserve">Platform commoditization risk; talent attraction by open-source communities; compliance deadline pressure for AI Act</t>
  </si>
  <si>
    <t xml:space="preserve">Partner with Startup Beta for R&amp;D; leverage early AI Act compliance as a market differentiator</t>
  </si>
  <si>
    <t xml:space="preserve">Assign AI Act compliance lead; initiate competitive assessment of Alpha's new platform by end of week</t>
  </si>
  <si>
    <t xml:space="preserve">Three signals this week require immediate attention: platform competition is intensifying, regulatory deadlines are approaching, and open-source disruption is accelerating. Recommend executive review.</t>
  </si>
</sst>
</file>

<file path=xl/styles.xml><?xml version="1.0" encoding="utf-8"?>
<styleSheet xmlns="http://schemas.openxmlformats.org/spreadsheetml/2006/main">
  <numFmts count="1">
    <numFmt numFmtId="164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0"/>
      <charset val="1"/>
    </font>
    <font>
      <i val="true"/>
      <sz val="10"/>
      <color rgb="FFAACCDD"/>
      <name val="Arial"/>
      <family val="0"/>
      <charset val="1"/>
    </font>
    <font>
      <sz val="9"/>
      <name val="Arial"/>
      <family val="0"/>
      <charset val="1"/>
    </font>
    <font>
      <b val="true"/>
      <sz val="11"/>
      <color rgb="FF0D2137"/>
      <name val="Arial"/>
      <family val="0"/>
      <charset val="1"/>
    </font>
    <font>
      <b val="true"/>
      <sz val="10"/>
      <color rgb="FF0D2137"/>
      <name val="Arial"/>
      <family val="0"/>
      <charset val="1"/>
    </font>
    <font>
      <sz val="10"/>
      <color rgb="FF333333"/>
      <name val="Arial"/>
      <family val="0"/>
      <charset val="1"/>
    </font>
    <font>
      <b val="true"/>
      <sz val="11"/>
      <color rgb="FF7D4E00"/>
      <name val="Arial"/>
      <family val="0"/>
      <charset val="1"/>
    </font>
    <font>
      <b val="true"/>
      <sz val="10"/>
      <color rgb="FF7D4E00"/>
      <name val="Arial"/>
      <family val="0"/>
      <charset val="1"/>
    </font>
    <font>
      <sz val="10"/>
      <color rgb="FF7D4E00"/>
      <name val="Arial"/>
      <family val="0"/>
      <charset val="1"/>
    </font>
    <font>
      <i val="true"/>
      <sz val="10"/>
      <color rgb="FF7D4E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i val="true"/>
      <sz val="10"/>
      <color rgb="FF8C8C8C"/>
      <name val="Arial"/>
      <family val="0"/>
      <charset val="1"/>
    </font>
    <font>
      <sz val="10"/>
      <color rgb="FF0070AD"/>
      <name val="Arial"/>
      <family val="0"/>
      <charset val="1"/>
    </font>
    <font>
      <b val="true"/>
      <sz val="10"/>
      <color rgb="FFCC0000"/>
      <name val="Arial"/>
      <family val="0"/>
      <charset val="1"/>
    </font>
    <font>
      <b val="true"/>
      <sz val="10"/>
      <color rgb="FFCC6600"/>
      <name val="Arial"/>
      <family val="0"/>
      <charset val="1"/>
    </font>
    <font>
      <b val="true"/>
      <sz val="10"/>
      <color rgb="FFAA8800"/>
      <name val="Arial"/>
      <family val="0"/>
      <charset val="1"/>
    </font>
    <font>
      <b val="true"/>
      <sz val="10"/>
      <color rgb="FF448844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0D2137"/>
        <bgColor rgb="FF003300"/>
      </patternFill>
    </fill>
    <fill>
      <patternFill patternType="solid">
        <fgColor rgb="FFE4EDF5"/>
        <bgColor rgb="FFF0F6FA"/>
      </patternFill>
    </fill>
    <fill>
      <patternFill patternType="solid">
        <fgColor rgb="FFFFF3CD"/>
        <bgColor rgb="FFF5F5F5"/>
      </patternFill>
    </fill>
    <fill>
      <patternFill patternType="solid">
        <fgColor rgb="FFF5F5F5"/>
        <bgColor rgb="FFF0F6FA"/>
      </patternFill>
    </fill>
    <fill>
      <patternFill patternType="solid">
        <fgColor rgb="FFF0F6FA"/>
        <bgColor rgb="FFF5F5F5"/>
      </patternFill>
    </fill>
    <fill>
      <patternFill patternType="solid">
        <fgColor rgb="FFFFFFFF"/>
        <bgColor rgb="FFF5F5F5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2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3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4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5" fillId="5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6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6" fillId="7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A8800"/>
      <rgbColor rgb="FF800080"/>
      <rgbColor rgb="FF008080"/>
      <rgbColor rgb="FFC0C0C0"/>
      <rgbColor rgb="FF808080"/>
      <rgbColor rgb="FF9999FF"/>
      <rgbColor rgb="FF993366"/>
      <rgbColor rgb="FFFFF3CD"/>
      <rgbColor rgb="FFE4EDF5"/>
      <rgbColor rgb="FF660066"/>
      <rgbColor rgb="FFFF8080"/>
      <rgbColor rgb="FF0070AD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0F6FA"/>
      <rgbColor rgb="FFF5F5F5"/>
      <rgbColor rgb="FFFFFF99"/>
      <rgbColor rgb="FFAACCDD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C6600"/>
      <rgbColor rgb="FF666699"/>
      <rgbColor rgb="FF8C8C8C"/>
      <rgbColor rgb="FF0D2137"/>
      <rgbColor rgb="FF448844"/>
      <rgbColor rgb="FF003300"/>
      <rgbColor rgb="FF333300"/>
      <rgbColor rgb="FF7D4E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74"/>
  </cols>
  <sheetData>
    <row r="1" customFormat="false" ht="39.75" hidden="false" customHeight="true" outlineLevel="0" collapsed="false">
      <c r="A1" s="2" t="s">
        <v>0</v>
      </c>
      <c r="B1" s="2"/>
    </row>
    <row r="2" customFormat="false" ht="19.5" hidden="false" customHeight="true" outlineLevel="0" collapsed="false">
      <c r="A2" s="3" t="s">
        <v>1</v>
      </c>
      <c r="B2" s="3"/>
    </row>
    <row r="3" customFormat="false" ht="7.5" hidden="false" customHeight="true" outlineLevel="0" collapsed="false">
      <c r="A3" s="4"/>
      <c r="B3" s="4"/>
    </row>
    <row r="4" customFormat="false" ht="21.75" hidden="false" customHeight="true" outlineLevel="0" collapsed="false">
      <c r="A4" s="5" t="s">
        <v>2</v>
      </c>
      <c r="B4" s="5"/>
    </row>
    <row r="5" customFormat="false" ht="19.5" hidden="false" customHeight="true" outlineLevel="0" collapsed="false">
      <c r="A5" s="6" t="s">
        <v>3</v>
      </c>
      <c r="B5" s="7" t="s">
        <v>4</v>
      </c>
    </row>
    <row r="6" customFormat="false" ht="18" hidden="false" customHeight="true" outlineLevel="0" collapsed="false">
      <c r="A6" s="6" t="s">
        <v>5</v>
      </c>
      <c r="B6" s="7" t="s">
        <v>6</v>
      </c>
    </row>
    <row r="7" customFormat="false" ht="18" hidden="false" customHeight="true" outlineLevel="0" collapsed="false">
      <c r="A7" s="6" t="s">
        <v>7</v>
      </c>
      <c r="B7" s="7" t="s">
        <v>8</v>
      </c>
    </row>
    <row r="8" customFormat="false" ht="7.5" hidden="false" customHeight="true" outlineLevel="0" collapsed="false">
      <c r="A8" s="4"/>
      <c r="B8" s="4"/>
    </row>
    <row r="9" customFormat="false" ht="24" hidden="false" customHeight="true" outlineLevel="0" collapsed="false">
      <c r="A9" s="8" t="s">
        <v>9</v>
      </c>
      <c r="B9" s="8"/>
    </row>
    <row r="10" customFormat="false" ht="33.75" hidden="false" customHeight="true" outlineLevel="0" collapsed="false">
      <c r="A10" s="9" t="s">
        <v>10</v>
      </c>
      <c r="B10" s="10" t="s">
        <v>11</v>
      </c>
    </row>
    <row r="11" customFormat="false" ht="33.75" hidden="false" customHeight="true" outlineLevel="0" collapsed="false">
      <c r="A11" s="9" t="s">
        <v>12</v>
      </c>
      <c r="B11" s="10" t="s">
        <v>13</v>
      </c>
    </row>
    <row r="12" customFormat="false" ht="21.75" hidden="false" customHeight="true" outlineLevel="0" collapsed="false">
      <c r="A12" s="9" t="s">
        <v>14</v>
      </c>
      <c r="B12" s="11" t="s">
        <v>15</v>
      </c>
    </row>
    <row r="13" customFormat="false" ht="7.5" hidden="false" customHeight="true" outlineLevel="0" collapsed="false">
      <c r="A13" s="4"/>
      <c r="B13" s="4"/>
    </row>
    <row r="14" customFormat="false" ht="21.75" hidden="false" customHeight="true" outlineLevel="0" collapsed="false">
      <c r="A14" s="5" t="s">
        <v>16</v>
      </c>
      <c r="B14" s="5"/>
    </row>
    <row r="15" customFormat="false" ht="18" hidden="false" customHeight="true" outlineLevel="0" collapsed="false">
      <c r="A15" s="12" t="s">
        <v>17</v>
      </c>
      <c r="B15" s="7" t="s">
        <v>18</v>
      </c>
    </row>
    <row r="16" customFormat="false" ht="18" hidden="false" customHeight="true" outlineLevel="0" collapsed="false">
      <c r="A16" s="13" t="s">
        <v>19</v>
      </c>
      <c r="B16" s="14" t="s">
        <v>20</v>
      </c>
    </row>
    <row r="17" customFormat="false" ht="18" hidden="false" customHeight="true" outlineLevel="0" collapsed="false">
      <c r="A17" s="15" t="s">
        <v>21</v>
      </c>
      <c r="B17" s="15" t="s">
        <v>22</v>
      </c>
    </row>
    <row r="18" customFormat="false" ht="18" hidden="false" customHeight="true" outlineLevel="0" collapsed="false">
      <c r="A18" s="16" t="s">
        <v>23</v>
      </c>
      <c r="B18" s="7" t="s">
        <v>24</v>
      </c>
    </row>
    <row r="19" customFormat="false" ht="7.5" hidden="false" customHeight="true" outlineLevel="0" collapsed="false">
      <c r="A19" s="4"/>
      <c r="B19" s="4"/>
    </row>
    <row r="20" customFormat="false" ht="21.75" hidden="false" customHeight="true" outlineLevel="0" collapsed="false">
      <c r="A20" s="5" t="s">
        <v>25</v>
      </c>
      <c r="B20" s="5"/>
    </row>
    <row r="21" customFormat="false" ht="27.75" hidden="false" customHeight="true" outlineLevel="0" collapsed="false">
      <c r="A21" s="6" t="s">
        <v>26</v>
      </c>
      <c r="B21" s="7" t="s">
        <v>27</v>
      </c>
    </row>
    <row r="22" customFormat="false" ht="27.75" hidden="false" customHeight="true" outlineLevel="0" collapsed="false">
      <c r="A22" s="6" t="s">
        <v>28</v>
      </c>
      <c r="B22" s="7" t="s">
        <v>29</v>
      </c>
    </row>
    <row r="23" customFormat="false" ht="27.75" hidden="false" customHeight="true" outlineLevel="0" collapsed="false">
      <c r="A23" s="6" t="s">
        <v>30</v>
      </c>
      <c r="B23" s="7" t="s">
        <v>31</v>
      </c>
    </row>
    <row r="24" customFormat="false" ht="27.75" hidden="false" customHeight="true" outlineLevel="0" collapsed="false">
      <c r="A24" s="6" t="s">
        <v>32</v>
      </c>
      <c r="B24" s="7" t="s">
        <v>33</v>
      </c>
    </row>
    <row r="25" customFormat="false" ht="7.5" hidden="false" customHeight="true" outlineLevel="0" collapsed="false">
      <c r="A25" s="4"/>
      <c r="B25" s="4"/>
    </row>
    <row r="26" customFormat="false" ht="21.75" hidden="false" customHeight="true" outlineLevel="0" collapsed="false">
      <c r="A26" s="5" t="s">
        <v>34</v>
      </c>
      <c r="B26" s="5"/>
    </row>
    <row r="27" customFormat="false" ht="19.5" hidden="false" customHeight="true" outlineLevel="0" collapsed="false">
      <c r="A27" s="6" t="s">
        <v>35</v>
      </c>
      <c r="B27" s="7" t="s">
        <v>36</v>
      </c>
    </row>
    <row r="28" customFormat="false" ht="19.5" hidden="false" customHeight="true" outlineLevel="0" collapsed="false">
      <c r="A28" s="6" t="s">
        <v>37</v>
      </c>
      <c r="B28" s="7" t="s">
        <v>38</v>
      </c>
    </row>
    <row r="29" customFormat="false" ht="19.5" hidden="false" customHeight="true" outlineLevel="0" collapsed="false">
      <c r="A29" s="6" t="s">
        <v>39</v>
      </c>
      <c r="B29" s="7" t="s">
        <v>40</v>
      </c>
    </row>
    <row r="30" customFormat="false" ht="19.5" hidden="false" customHeight="true" outlineLevel="0" collapsed="false">
      <c r="A30" s="6" t="s">
        <v>41</v>
      </c>
      <c r="B30" s="7" t="s">
        <v>42</v>
      </c>
    </row>
    <row r="31" customFormat="false" ht="7.5" hidden="false" customHeight="true" outlineLevel="0" collapsed="false">
      <c r="A31" s="4"/>
      <c r="B31" s="4"/>
    </row>
    <row r="32" customFormat="false" ht="21.75" hidden="false" customHeight="true" outlineLevel="0" collapsed="false">
      <c r="A32" s="5" t="s">
        <v>43</v>
      </c>
      <c r="B32" s="5"/>
    </row>
    <row r="33" customFormat="false" ht="19.5" hidden="false" customHeight="true" outlineLevel="0" collapsed="false">
      <c r="A33" s="6" t="s">
        <v>44</v>
      </c>
      <c r="B33" s="15" t="s">
        <v>45</v>
      </c>
    </row>
    <row r="34" customFormat="false" ht="18" hidden="false" customHeight="true" outlineLevel="0" collapsed="false">
      <c r="A34" s="17" t="s">
        <v>46</v>
      </c>
      <c r="B34" s="7" t="s">
        <v>47</v>
      </c>
    </row>
    <row r="35" customFormat="false" ht="18" hidden="false" customHeight="true" outlineLevel="0" collapsed="false">
      <c r="A35" s="18" t="s">
        <v>48</v>
      </c>
      <c r="B35" s="7" t="s">
        <v>49</v>
      </c>
    </row>
    <row r="36" customFormat="false" ht="18" hidden="false" customHeight="true" outlineLevel="0" collapsed="false">
      <c r="A36" s="19" t="s">
        <v>50</v>
      </c>
      <c r="B36" s="7" t="s">
        <v>51</v>
      </c>
    </row>
    <row r="37" customFormat="false" ht="18" hidden="false" customHeight="true" outlineLevel="0" collapsed="false">
      <c r="A37" s="20" t="s">
        <v>52</v>
      </c>
      <c r="B37" s="7" t="s">
        <v>53</v>
      </c>
    </row>
    <row r="38" customFormat="false" ht="7.5" hidden="false" customHeight="true" outlineLevel="0" collapsed="false">
      <c r="A38" s="4"/>
      <c r="B38" s="4"/>
    </row>
    <row r="39" customFormat="false" ht="21.75" hidden="false" customHeight="true" outlineLevel="0" collapsed="false">
      <c r="A39" s="5" t="s">
        <v>54</v>
      </c>
      <c r="B39" s="5"/>
    </row>
    <row r="40" customFormat="false" ht="21.75" hidden="false" customHeight="true" outlineLevel="0" collapsed="false">
      <c r="A40" s="6" t="s">
        <v>55</v>
      </c>
      <c r="B40" s="7" t="s">
        <v>56</v>
      </c>
    </row>
    <row r="41" customFormat="false" ht="21.75" hidden="false" customHeight="true" outlineLevel="0" collapsed="false">
      <c r="A41" s="6" t="s">
        <v>57</v>
      </c>
      <c r="B41" s="7" t="s">
        <v>58</v>
      </c>
    </row>
    <row r="42" customFormat="false" ht="21.75" hidden="false" customHeight="true" outlineLevel="0" collapsed="false">
      <c r="A42" s="6" t="s">
        <v>59</v>
      </c>
      <c r="B42" s="7" t="s">
        <v>60</v>
      </c>
    </row>
    <row r="43" customFormat="false" ht="21.75" hidden="false" customHeight="true" outlineLevel="0" collapsed="false">
      <c r="A43" s="6" t="s">
        <v>61</v>
      </c>
      <c r="B43" s="7" t="s">
        <v>62</v>
      </c>
    </row>
    <row r="44" customFormat="false" ht="7.5" hidden="false" customHeight="true" outlineLevel="0" collapsed="false">
      <c r="A44" s="4"/>
      <c r="B44" s="4"/>
    </row>
  </sheetData>
  <mergeCells count="17">
    <mergeCell ref="A1:B1"/>
    <mergeCell ref="A2:B2"/>
    <mergeCell ref="A3:B3"/>
    <mergeCell ref="A4:B4"/>
    <mergeCell ref="A8:B8"/>
    <mergeCell ref="A9:B9"/>
    <mergeCell ref="A13:B13"/>
    <mergeCell ref="A14:B14"/>
    <mergeCell ref="A19:B19"/>
    <mergeCell ref="A20:B20"/>
    <mergeCell ref="A25:B25"/>
    <mergeCell ref="A26:B26"/>
    <mergeCell ref="A31:B31"/>
    <mergeCell ref="A32:B32"/>
    <mergeCell ref="A38:B38"/>
    <mergeCell ref="A39:B39"/>
    <mergeCell ref="A44:B4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22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22"/>
    <col collapsed="false" customWidth="true" hidden="false" outlineLevel="0" max="6" min="6" style="1" width="18"/>
    <col collapsed="false" customWidth="true" hidden="false" outlineLevel="0" max="7" min="7" style="1" width="36"/>
    <col collapsed="false" customWidth="true" hidden="false" outlineLevel="0" max="10" min="8" style="1" width="30"/>
  </cols>
  <sheetData>
    <row r="1" customFormat="false" ht="36" hidden="false" customHeight="true" outlineLevel="0" collapsed="false">
      <c r="A1" s="21" t="s">
        <v>63</v>
      </c>
      <c r="B1" s="21" t="s">
        <v>64</v>
      </c>
      <c r="C1" s="21" t="s">
        <v>65</v>
      </c>
      <c r="D1" s="21" t="s">
        <v>66</v>
      </c>
      <c r="E1" s="21" t="s">
        <v>67</v>
      </c>
      <c r="F1" s="21" t="s">
        <v>68</v>
      </c>
      <c r="G1" s="21" t="s">
        <v>69</v>
      </c>
      <c r="H1" s="21" t="s">
        <v>70</v>
      </c>
      <c r="I1" s="21" t="s">
        <v>71</v>
      </c>
      <c r="J1" s="21" t="s">
        <v>72</v>
      </c>
    </row>
    <row r="2" customFormat="false" ht="24" hidden="false" customHeight="true" outlineLevel="0" collapsed="false">
      <c r="A2" s="13" t="s">
        <v>73</v>
      </c>
      <c r="B2" s="13" t="s">
        <v>74</v>
      </c>
      <c r="C2" s="13" t="s">
        <v>75</v>
      </c>
      <c r="D2" s="13" t="s">
        <v>76</v>
      </c>
      <c r="E2" s="13" t="s">
        <v>77</v>
      </c>
      <c r="F2" s="13" t="s">
        <v>78</v>
      </c>
      <c r="G2" s="13" t="s">
        <v>79</v>
      </c>
      <c r="H2" s="13" t="s">
        <v>80</v>
      </c>
      <c r="I2" s="13" t="s">
        <v>81</v>
      </c>
      <c r="J2" s="13" t="s">
        <v>82</v>
      </c>
    </row>
    <row r="3" customFormat="false" ht="24" hidden="false" customHeight="true" outlineLevel="0" collapsed="false">
      <c r="A3" s="13" t="s">
        <v>83</v>
      </c>
      <c r="B3" s="13" t="s">
        <v>84</v>
      </c>
      <c r="C3" s="13" t="s">
        <v>85</v>
      </c>
      <c r="D3" s="13" t="s">
        <v>86</v>
      </c>
      <c r="E3" s="13" t="s">
        <v>87</v>
      </c>
      <c r="F3" s="13" t="s">
        <v>88</v>
      </c>
      <c r="G3" s="13" t="s">
        <v>89</v>
      </c>
      <c r="H3" s="13" t="s">
        <v>90</v>
      </c>
      <c r="I3" s="13" t="s">
        <v>91</v>
      </c>
      <c r="J3" s="13" t="s">
        <v>92</v>
      </c>
    </row>
    <row r="4" customFormat="false" ht="24" hidden="false" customHeight="true" outlineLevel="0" collapsed="false">
      <c r="A4" s="13" t="s">
        <v>93</v>
      </c>
      <c r="B4" s="13" t="s">
        <v>94</v>
      </c>
      <c r="C4" s="13" t="s">
        <v>95</v>
      </c>
      <c r="D4" s="13" t="s">
        <v>96</v>
      </c>
      <c r="E4" s="13" t="s">
        <v>97</v>
      </c>
      <c r="F4" s="13" t="s">
        <v>98</v>
      </c>
      <c r="G4" s="13" t="s">
        <v>99</v>
      </c>
      <c r="H4" s="13" t="s">
        <v>100</v>
      </c>
      <c r="I4" s="13" t="s">
        <v>101</v>
      </c>
      <c r="J4" s="13" t="s">
        <v>102</v>
      </c>
    </row>
    <row r="5" customFormat="false" ht="15" hidden="false" customHeight="true" outlineLevel="0" collapsed="false">
      <c r="A5" s="22"/>
      <c r="B5" s="22"/>
      <c r="C5" s="22"/>
      <c r="D5" s="22"/>
      <c r="E5" s="22"/>
      <c r="F5" s="22"/>
      <c r="G5" s="22"/>
      <c r="H5" s="22"/>
      <c r="I5" s="22"/>
      <c r="J5" s="22"/>
    </row>
    <row r="6" customFormat="false" ht="15" hidden="false" customHeight="true" outlineLevel="0" collapsed="false">
      <c r="A6" s="23"/>
      <c r="B6" s="23"/>
      <c r="C6" s="23"/>
      <c r="D6" s="23"/>
      <c r="E6" s="23"/>
      <c r="F6" s="23"/>
      <c r="G6" s="23"/>
      <c r="H6" s="23"/>
      <c r="I6" s="23"/>
      <c r="J6" s="23"/>
    </row>
    <row r="7" customFormat="false" ht="15" hidden="false" customHeight="true" outlineLevel="0" collapsed="false">
      <c r="A7" s="22"/>
      <c r="B7" s="22"/>
      <c r="C7" s="22"/>
      <c r="D7" s="22"/>
      <c r="E7" s="22"/>
      <c r="F7" s="22"/>
      <c r="G7" s="22"/>
      <c r="H7" s="22"/>
      <c r="I7" s="22"/>
      <c r="J7" s="22"/>
    </row>
    <row r="8" customFormat="false" ht="15" hidden="false" customHeight="true" outlineLevel="0" collapsed="false">
      <c r="A8" s="23"/>
      <c r="B8" s="23"/>
      <c r="C8" s="23"/>
      <c r="D8" s="23"/>
      <c r="E8" s="23"/>
      <c r="F8" s="23"/>
      <c r="G8" s="23"/>
      <c r="H8" s="23"/>
      <c r="I8" s="23"/>
      <c r="J8" s="23"/>
    </row>
    <row r="9" customFormat="false" ht="15" hidden="false" customHeight="true" outlineLevel="0" collapsed="false">
      <c r="A9" s="22"/>
      <c r="B9" s="22"/>
      <c r="C9" s="22"/>
      <c r="D9" s="22"/>
      <c r="E9" s="22"/>
      <c r="F9" s="22"/>
      <c r="G9" s="22"/>
      <c r="H9" s="22"/>
      <c r="I9" s="22"/>
      <c r="J9" s="22"/>
    </row>
    <row r="10" customFormat="false" ht="15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  <c r="J10" s="23"/>
    </row>
    <row r="11" customFormat="false" ht="15" hidden="false" customHeight="true" outlineLevel="0" collapsed="false">
      <c r="A11" s="22"/>
      <c r="B11" s="22"/>
      <c r="C11" s="22"/>
      <c r="D11" s="22"/>
      <c r="E11" s="22"/>
      <c r="F11" s="22"/>
      <c r="G11" s="22"/>
      <c r="H11" s="22"/>
      <c r="I11" s="22"/>
      <c r="J11" s="22"/>
    </row>
    <row r="12" customFormat="false" ht="15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  <c r="J12" s="23"/>
    </row>
    <row r="13" customFormat="false" ht="15" hidden="false" customHeight="true" outlineLevel="0" collapsed="false">
      <c r="A13" s="22"/>
      <c r="B13" s="22"/>
      <c r="C13" s="22"/>
      <c r="D13" s="22"/>
      <c r="E13" s="22"/>
      <c r="F13" s="22"/>
      <c r="G13" s="22"/>
      <c r="H13" s="22"/>
      <c r="I13" s="22"/>
      <c r="J13" s="22"/>
    </row>
    <row r="14" customFormat="false" ht="15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  <c r="J14" s="23"/>
    </row>
    <row r="15" customFormat="false" ht="15" hidden="false" customHeight="true" outlineLevel="0" collapsed="false">
      <c r="A15" s="22"/>
      <c r="B15" s="22"/>
      <c r="C15" s="22"/>
      <c r="D15" s="22"/>
      <c r="E15" s="22"/>
      <c r="F15" s="22"/>
      <c r="G15" s="22"/>
      <c r="H15" s="22"/>
      <c r="I15" s="22"/>
      <c r="J15" s="22"/>
    </row>
    <row r="16" customFormat="false" ht="15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  <c r="J16" s="23"/>
    </row>
    <row r="17" customFormat="false" ht="15" hidden="false" customHeight="true" outlineLevel="0" collapsed="false">
      <c r="A17" s="22"/>
      <c r="B17" s="22"/>
      <c r="C17" s="22"/>
      <c r="D17" s="22"/>
      <c r="E17" s="22"/>
      <c r="F17" s="22"/>
      <c r="G17" s="22"/>
      <c r="H17" s="22"/>
      <c r="I17" s="22"/>
      <c r="J17" s="22"/>
    </row>
    <row r="18" customFormat="false" ht="15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  <c r="J18" s="23"/>
    </row>
    <row r="19" customFormat="false" ht="15" hidden="false" customHeight="true" outlineLevel="0" collapsed="false">
      <c r="A19" s="22"/>
      <c r="B19" s="22"/>
      <c r="C19" s="22"/>
      <c r="D19" s="22"/>
      <c r="E19" s="22"/>
      <c r="F19" s="22"/>
      <c r="G19" s="22"/>
      <c r="H19" s="22"/>
      <c r="I19" s="22"/>
      <c r="J19" s="22"/>
    </row>
    <row r="20" customFormat="false" ht="15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</row>
    <row r="21" customFormat="false" ht="15" hidden="false" customHeight="true" outlineLevel="0" collapsed="false">
      <c r="A21" s="22"/>
      <c r="B21" s="22"/>
      <c r="C21" s="22"/>
      <c r="D21" s="22"/>
      <c r="E21" s="22"/>
      <c r="F21" s="22"/>
      <c r="G21" s="22"/>
      <c r="H21" s="22"/>
      <c r="I21" s="22"/>
      <c r="J21" s="22"/>
    </row>
    <row r="22" customFormat="false" ht="15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</row>
    <row r="23" customFormat="false" ht="15" hidden="false" customHeight="true" outlineLevel="0" collapsed="false">
      <c r="A23" s="22"/>
      <c r="B23" s="22"/>
      <c r="C23" s="22"/>
      <c r="D23" s="22"/>
      <c r="E23" s="22"/>
      <c r="F23" s="22"/>
      <c r="G23" s="22"/>
      <c r="H23" s="22"/>
      <c r="I23" s="22"/>
      <c r="J23" s="22"/>
    </row>
    <row r="24" customFormat="false" ht="15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22"/>
    <col collapsed="false" customWidth="true" hidden="false" outlineLevel="0" max="3" min="3" style="1" width="36"/>
    <col collapsed="false" customWidth="true" hidden="false" outlineLevel="0" max="4" min="4" style="1" width="12"/>
    <col collapsed="false" customWidth="true" hidden="false" outlineLevel="0" max="5" min="5" style="1" width="20"/>
    <col collapsed="false" customWidth="true" hidden="false" outlineLevel="0" max="6" min="6" style="1" width="18"/>
    <col collapsed="false" customWidth="true" hidden="false" outlineLevel="0" max="7" min="7" style="1" width="22"/>
    <col collapsed="false" customWidth="true" hidden="false" outlineLevel="0" max="8" min="8" style="1" width="40"/>
    <col collapsed="false" customWidth="true" hidden="false" outlineLevel="0" max="11" min="9" style="1" width="36"/>
    <col collapsed="false" customWidth="true" hidden="false" outlineLevel="0" max="13" min="12" style="1" width="18"/>
  </cols>
  <sheetData>
    <row r="1" customFormat="false" ht="36" hidden="false" customHeight="true" outlineLevel="0" collapsed="false">
      <c r="A1" s="21" t="s">
        <v>63</v>
      </c>
      <c r="B1" s="21" t="s">
        <v>64</v>
      </c>
      <c r="C1" s="21" t="s">
        <v>103</v>
      </c>
      <c r="D1" s="21" t="s">
        <v>104</v>
      </c>
      <c r="E1" s="21" t="s">
        <v>105</v>
      </c>
      <c r="F1" s="21" t="s">
        <v>106</v>
      </c>
      <c r="G1" s="21" t="s">
        <v>107</v>
      </c>
      <c r="H1" s="21" t="s">
        <v>108</v>
      </c>
      <c r="I1" s="21" t="s">
        <v>109</v>
      </c>
      <c r="J1" s="21" t="s">
        <v>110</v>
      </c>
      <c r="K1" s="21" t="s">
        <v>111</v>
      </c>
      <c r="L1" s="21" t="s">
        <v>112</v>
      </c>
      <c r="M1" s="21" t="s">
        <v>113</v>
      </c>
    </row>
    <row r="2" customFormat="false" ht="34.5" hidden="false" customHeight="true" outlineLevel="0" collapsed="false">
      <c r="A2" s="13" t="s">
        <v>73</v>
      </c>
      <c r="B2" s="13" t="s">
        <v>74</v>
      </c>
      <c r="C2" s="13" t="s">
        <v>114</v>
      </c>
      <c r="D2" s="13" t="s">
        <v>115</v>
      </c>
      <c r="E2" s="13" t="s">
        <v>116</v>
      </c>
      <c r="F2" s="13" t="s">
        <v>117</v>
      </c>
      <c r="G2" s="13" t="s">
        <v>118</v>
      </c>
      <c r="H2" s="13" t="s">
        <v>119</v>
      </c>
      <c r="I2" s="13" t="s">
        <v>120</v>
      </c>
      <c r="J2" s="13" t="s">
        <v>121</v>
      </c>
      <c r="K2" s="13" t="s">
        <v>122</v>
      </c>
      <c r="L2" s="13" t="s">
        <v>123</v>
      </c>
      <c r="M2" s="13" t="s">
        <v>124</v>
      </c>
    </row>
    <row r="3" customFormat="false" ht="34.5" hidden="false" customHeight="true" outlineLevel="0" collapsed="false">
      <c r="A3" s="13" t="s">
        <v>83</v>
      </c>
      <c r="B3" s="13" t="s">
        <v>84</v>
      </c>
      <c r="C3" s="13" t="s">
        <v>125</v>
      </c>
      <c r="D3" s="13" t="s">
        <v>126</v>
      </c>
      <c r="E3" s="13" t="s">
        <v>127</v>
      </c>
      <c r="F3" s="13" t="s">
        <v>128</v>
      </c>
      <c r="G3" s="13" t="s">
        <v>87</v>
      </c>
      <c r="H3" s="13" t="s">
        <v>129</v>
      </c>
      <c r="I3" s="13" t="s">
        <v>130</v>
      </c>
      <c r="J3" s="13" t="s">
        <v>131</v>
      </c>
      <c r="K3" s="13" t="s">
        <v>132</v>
      </c>
      <c r="L3" s="13" t="s">
        <v>133</v>
      </c>
      <c r="M3" s="13" t="s">
        <v>134</v>
      </c>
    </row>
    <row r="4" customFormat="false" ht="45.75" hidden="false" customHeight="true" outlineLevel="0" collapsed="false">
      <c r="A4" s="13" t="s">
        <v>93</v>
      </c>
      <c r="B4" s="13" t="s">
        <v>94</v>
      </c>
      <c r="C4" s="13" t="s">
        <v>135</v>
      </c>
      <c r="D4" s="13" t="s">
        <v>136</v>
      </c>
      <c r="E4" s="13" t="s">
        <v>137</v>
      </c>
      <c r="F4" s="13" t="s">
        <v>138</v>
      </c>
      <c r="G4" s="13" t="s">
        <v>97</v>
      </c>
      <c r="H4" s="13" t="s">
        <v>139</v>
      </c>
      <c r="I4" s="13" t="s">
        <v>140</v>
      </c>
      <c r="J4" s="13" t="s">
        <v>141</v>
      </c>
      <c r="K4" s="13" t="s">
        <v>142</v>
      </c>
      <c r="L4" s="13" t="s">
        <v>143</v>
      </c>
      <c r="M4" s="13" t="s">
        <v>124</v>
      </c>
    </row>
    <row r="5" customFormat="false" ht="15" hidden="false" customHeight="true" outlineLevel="0" collapsed="false">
      <c r="A5" s="22"/>
      <c r="B5" s="22"/>
      <c r="C5" s="22"/>
      <c r="D5" s="22"/>
      <c r="E5" s="22"/>
      <c r="F5" s="22"/>
      <c r="G5" s="22"/>
      <c r="H5" s="22"/>
      <c r="I5" s="22"/>
      <c r="J5" s="22"/>
      <c r="K5" s="22"/>
      <c r="L5" s="22"/>
      <c r="M5" s="22"/>
    </row>
    <row r="6" customFormat="false" ht="15" hidden="false" customHeight="true" outlineLevel="0" collapsed="false">
      <c r="A6" s="23"/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</row>
    <row r="7" customFormat="false" ht="15" hidden="false" customHeight="true" outlineLevel="0" collapsed="false">
      <c r="A7" s="22"/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</row>
    <row r="8" customFormat="false" ht="15" hidden="false" customHeight="true" outlineLevel="0" collapsed="false">
      <c r="A8" s="23"/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</row>
    <row r="9" customFormat="false" ht="15" hidden="false" customHeight="true" outlineLevel="0" collapsed="false">
      <c r="A9" s="22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</row>
    <row r="10" customFormat="false" ht="15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</row>
    <row r="11" customFormat="false" ht="15" hidden="false" customHeight="true" outlineLevel="0" collapsed="false">
      <c r="A11" s="2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</row>
    <row r="12" customFormat="false" ht="15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  <c r="I12" s="23"/>
      <c r="J12" s="23"/>
      <c r="K12" s="23"/>
      <c r="L12" s="23"/>
      <c r="M12" s="23"/>
    </row>
    <row r="13" customFormat="false" ht="15" hidden="false" customHeight="true" outlineLevel="0" collapsed="false">
      <c r="A13" s="22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</row>
    <row r="14" customFormat="false" ht="15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  <c r="I14" s="23"/>
      <c r="J14" s="23"/>
      <c r="K14" s="23"/>
      <c r="L14" s="23"/>
      <c r="M14" s="23"/>
    </row>
    <row r="15" customFormat="false" ht="15" hidden="false" customHeight="true" outlineLevel="0" collapsed="false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</row>
    <row r="16" customFormat="false" ht="15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</row>
    <row r="17" customFormat="false" ht="15" hidden="false" customHeight="true" outlineLevel="0" collapsed="false">
      <c r="A17" s="22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</row>
    <row r="18" customFormat="false" ht="15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</row>
    <row r="19" customFormat="false" ht="15" hidden="false" customHeight="true" outlineLevel="0" collapsed="false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</row>
    <row r="20" customFormat="false" ht="15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</row>
    <row r="21" customFormat="false" ht="15" hidden="false" customHeight="true" outlineLevel="0" collapsed="false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</row>
    <row r="22" customFormat="false" ht="15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</row>
    <row r="23" customFormat="false" ht="15" hidden="false" customHeight="true" outlineLevel="0" collapsed="false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</row>
    <row r="24" customFormat="false" ht="15" hidden="false" customHeight="true" outlineLevel="0" collapsed="false">
      <c r="A24" s="23"/>
      <c r="B24" s="23"/>
      <c r="C24" s="23"/>
      <c r="D24" s="23"/>
      <c r="E24" s="23"/>
      <c r="F24" s="23"/>
      <c r="G24" s="23"/>
      <c r="H24" s="23"/>
      <c r="I24" s="23"/>
      <c r="J24" s="23"/>
      <c r="K24" s="23"/>
      <c r="L24" s="23"/>
      <c r="M24" s="2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22"/>
    <col collapsed="false" customWidth="true" hidden="false" outlineLevel="0" max="7" min="3" style="1" width="18"/>
    <col collapsed="false" customWidth="true" hidden="false" outlineLevel="0" max="8" min="8" style="1" width="22"/>
    <col collapsed="false" customWidth="true" hidden="false" outlineLevel="0" max="9" min="9" style="1" width="40"/>
    <col collapsed="false" customWidth="true" hidden="false" outlineLevel="0" max="10" min="10" style="1" width="36"/>
    <col collapsed="false" customWidth="true" hidden="false" outlineLevel="0" max="11" min="11" style="1" width="22"/>
  </cols>
  <sheetData>
    <row r="1" customFormat="false" ht="43.5" hidden="false" customHeight="true" outlineLevel="0" collapsed="false">
      <c r="A1" s="21" t="s">
        <v>63</v>
      </c>
      <c r="B1" s="21" t="s">
        <v>64</v>
      </c>
      <c r="C1" s="21" t="s">
        <v>144</v>
      </c>
      <c r="D1" s="21" t="s">
        <v>145</v>
      </c>
      <c r="E1" s="21" t="s">
        <v>146</v>
      </c>
      <c r="F1" s="21" t="s">
        <v>147</v>
      </c>
      <c r="G1" s="21" t="s">
        <v>148</v>
      </c>
      <c r="H1" s="21" t="s">
        <v>149</v>
      </c>
      <c r="I1" s="21" t="s">
        <v>150</v>
      </c>
      <c r="J1" s="21" t="s">
        <v>151</v>
      </c>
      <c r="K1" s="21" t="s">
        <v>152</v>
      </c>
    </row>
    <row r="2" customFormat="false" ht="24" hidden="false" customHeight="true" outlineLevel="0" collapsed="false">
      <c r="A2" s="13" t="s">
        <v>73</v>
      </c>
      <c r="B2" s="13" t="s">
        <v>74</v>
      </c>
      <c r="C2" s="13" t="n">
        <v>8</v>
      </c>
      <c r="D2" s="13" t="n">
        <v>7</v>
      </c>
      <c r="E2" s="13" t="n">
        <v>6</v>
      </c>
      <c r="F2" s="13" t="n">
        <v>5</v>
      </c>
      <c r="G2" s="13" t="n">
        <f aca="false">ROUND(AVERAGE(C2:F2)*10,1)</f>
        <v>65</v>
      </c>
      <c r="H2" s="13" t="str">
        <f aca="false">IF(G2&gt;=80,"CRITICAL",IF(G2&gt;=65,"HIGH",IF(G2&gt;=45,"MEDIUM","LOW")))</f>
        <v>HIGH</v>
      </c>
      <c r="I2" s="13" t="s">
        <v>153</v>
      </c>
      <c r="J2" s="13" t="s">
        <v>154</v>
      </c>
      <c r="K2" s="13" t="s">
        <v>155</v>
      </c>
    </row>
    <row r="3" customFormat="false" ht="24" hidden="false" customHeight="true" outlineLevel="0" collapsed="false">
      <c r="A3" s="13" t="s">
        <v>83</v>
      </c>
      <c r="B3" s="13" t="s">
        <v>84</v>
      </c>
      <c r="C3" s="13" t="n">
        <v>6</v>
      </c>
      <c r="D3" s="13" t="n">
        <v>9</v>
      </c>
      <c r="E3" s="13" t="n">
        <v>8</v>
      </c>
      <c r="F3" s="13" t="n">
        <v>4</v>
      </c>
      <c r="G3" s="13" t="n">
        <f aca="false">ROUND(AVERAGE(C3:F3)*10,1)</f>
        <v>67.5</v>
      </c>
      <c r="H3" s="13" t="str">
        <f aca="false">IF(G3&gt;=80,"CRITICAL",IF(G3&gt;=65,"HIGH",IF(G3&gt;=45,"MEDIUM","LOW")))</f>
        <v>HIGH</v>
      </c>
      <c r="I3" s="13" t="s">
        <v>156</v>
      </c>
      <c r="J3" s="13" t="s">
        <v>157</v>
      </c>
      <c r="K3" s="13" t="s">
        <v>158</v>
      </c>
    </row>
    <row r="4" customFormat="false" ht="24" hidden="false" customHeight="true" outlineLevel="0" collapsed="false">
      <c r="A4" s="13" t="s">
        <v>93</v>
      </c>
      <c r="B4" s="13" t="s">
        <v>94</v>
      </c>
      <c r="C4" s="13" t="n">
        <v>7</v>
      </c>
      <c r="D4" s="13" t="n">
        <v>8</v>
      </c>
      <c r="E4" s="13" t="n">
        <v>5</v>
      </c>
      <c r="F4" s="13" t="n">
        <v>3</v>
      </c>
      <c r="G4" s="13" t="n">
        <f aca="false">ROUND(AVERAGE(C4:F4)*10,1)</f>
        <v>57.5</v>
      </c>
      <c r="H4" s="13" t="str">
        <f aca="false">IF(G4&gt;=80,"CRITICAL",IF(G4&gt;=65,"HIGH",IF(G4&gt;=45,"MEDIUM","LOW")))</f>
        <v>MEDIUM</v>
      </c>
      <c r="I4" s="13" t="s">
        <v>159</v>
      </c>
      <c r="J4" s="13" t="s">
        <v>160</v>
      </c>
      <c r="K4" s="13" t="s">
        <v>161</v>
      </c>
    </row>
    <row r="5" customFormat="false" ht="15" hidden="false" customHeight="true" outlineLevel="0" collapsed="false">
      <c r="A5" s="22"/>
      <c r="B5" s="22"/>
      <c r="C5" s="22"/>
      <c r="D5" s="22"/>
      <c r="E5" s="22"/>
      <c r="F5" s="22"/>
      <c r="G5" s="22" t="str">
        <f aca="false">IF(C5="","",ROUND(AVERAGE(C5:F5)*10,1))</f>
        <v/>
      </c>
      <c r="H5" s="22" t="str">
        <f aca="false">IF(G5="","",IF(G5&gt;=80,"CRITICAL",IF(G5&gt;=65,"HIGH",IF(G5&gt;=45,"MEDIUM","LOW"))))</f>
        <v/>
      </c>
      <c r="I5" s="22"/>
      <c r="J5" s="22"/>
      <c r="K5" s="22"/>
    </row>
    <row r="6" customFormat="false" ht="15" hidden="false" customHeight="true" outlineLevel="0" collapsed="false">
      <c r="A6" s="23"/>
      <c r="B6" s="23"/>
      <c r="C6" s="23"/>
      <c r="D6" s="23"/>
      <c r="E6" s="23"/>
      <c r="F6" s="23"/>
      <c r="G6" s="23" t="str">
        <f aca="false">IF(C6="","",ROUND(AVERAGE(C6:F6)*10,1))</f>
        <v/>
      </c>
      <c r="H6" s="23" t="str">
        <f aca="false">IF(G6="","",IF(G6&gt;=80,"CRITICAL",IF(G6&gt;=65,"HIGH",IF(G6&gt;=45,"MEDIUM","LOW"))))</f>
        <v/>
      </c>
      <c r="I6" s="23"/>
      <c r="J6" s="23"/>
      <c r="K6" s="23"/>
    </row>
    <row r="7" customFormat="false" ht="15" hidden="false" customHeight="true" outlineLevel="0" collapsed="false">
      <c r="A7" s="22"/>
      <c r="B7" s="22"/>
      <c r="C7" s="22"/>
      <c r="D7" s="22"/>
      <c r="E7" s="22"/>
      <c r="F7" s="22"/>
      <c r="G7" s="22" t="str">
        <f aca="false">IF(C7="","",ROUND(AVERAGE(C7:F7)*10,1))</f>
        <v/>
      </c>
      <c r="H7" s="22" t="str">
        <f aca="false">IF(G7="","",IF(G7&gt;=80,"CRITICAL",IF(G7&gt;=65,"HIGH",IF(G7&gt;=45,"MEDIUM","LOW"))))</f>
        <v/>
      </c>
      <c r="I7" s="22"/>
      <c r="J7" s="22"/>
      <c r="K7" s="22"/>
    </row>
    <row r="8" customFormat="false" ht="15" hidden="false" customHeight="true" outlineLevel="0" collapsed="false">
      <c r="A8" s="23"/>
      <c r="B8" s="23"/>
      <c r="C8" s="23"/>
      <c r="D8" s="23"/>
      <c r="E8" s="23"/>
      <c r="F8" s="23"/>
      <c r="G8" s="23" t="str">
        <f aca="false">IF(C8="","",ROUND(AVERAGE(C8:F8)*10,1))</f>
        <v/>
      </c>
      <c r="H8" s="23" t="str">
        <f aca="false">IF(G8="","",IF(G8&gt;=80,"CRITICAL",IF(G8&gt;=65,"HIGH",IF(G8&gt;=45,"MEDIUM","LOW"))))</f>
        <v/>
      </c>
      <c r="I8" s="23"/>
      <c r="J8" s="23"/>
      <c r="K8" s="23"/>
    </row>
    <row r="9" customFormat="false" ht="15" hidden="false" customHeight="true" outlineLevel="0" collapsed="false">
      <c r="A9" s="22"/>
      <c r="B9" s="22"/>
      <c r="C9" s="22"/>
      <c r="D9" s="22"/>
      <c r="E9" s="22"/>
      <c r="F9" s="22"/>
      <c r="G9" s="22" t="str">
        <f aca="false">IF(C9="","",ROUND(AVERAGE(C9:F9)*10,1))</f>
        <v/>
      </c>
      <c r="H9" s="22" t="str">
        <f aca="false">IF(G9="","",IF(G9&gt;=80,"CRITICAL",IF(G9&gt;=65,"HIGH",IF(G9&gt;=45,"MEDIUM","LOW"))))</f>
        <v/>
      </c>
      <c r="I9" s="22"/>
      <c r="J9" s="22"/>
      <c r="K9" s="22"/>
    </row>
    <row r="10" customFormat="false" ht="15" hidden="false" customHeight="true" outlineLevel="0" collapsed="false">
      <c r="A10" s="23"/>
      <c r="B10" s="23"/>
      <c r="C10" s="23"/>
      <c r="D10" s="23"/>
      <c r="E10" s="23"/>
      <c r="F10" s="23"/>
      <c r="G10" s="23" t="str">
        <f aca="false">IF(C10="","",ROUND(AVERAGE(C10:F10)*10,1))</f>
        <v/>
      </c>
      <c r="H10" s="23" t="str">
        <f aca="false">IF(G10="","",IF(G10&gt;=80,"CRITICAL",IF(G10&gt;=65,"HIGH",IF(G10&gt;=45,"MEDIUM","LOW"))))</f>
        <v/>
      </c>
      <c r="I10" s="23"/>
      <c r="J10" s="23"/>
      <c r="K10" s="23"/>
    </row>
    <row r="11" customFormat="false" ht="15" hidden="false" customHeight="true" outlineLevel="0" collapsed="false">
      <c r="A11" s="22"/>
      <c r="B11" s="22"/>
      <c r="C11" s="22"/>
      <c r="D11" s="22"/>
      <c r="E11" s="22"/>
      <c r="F11" s="22"/>
      <c r="G11" s="22" t="str">
        <f aca="false">IF(C11="","",ROUND(AVERAGE(C11:F11)*10,1))</f>
        <v/>
      </c>
      <c r="H11" s="22" t="str">
        <f aca="false">IF(G11="","",IF(G11&gt;=80,"CRITICAL",IF(G11&gt;=65,"HIGH",IF(G11&gt;=45,"MEDIUM","LOW"))))</f>
        <v/>
      </c>
      <c r="I11" s="22"/>
      <c r="J11" s="22"/>
      <c r="K11" s="22"/>
    </row>
    <row r="12" customFormat="false" ht="15" hidden="false" customHeight="true" outlineLevel="0" collapsed="false">
      <c r="A12" s="23"/>
      <c r="B12" s="23"/>
      <c r="C12" s="23"/>
      <c r="D12" s="23"/>
      <c r="E12" s="23"/>
      <c r="F12" s="23"/>
      <c r="G12" s="23" t="str">
        <f aca="false">IF(C12="","",ROUND(AVERAGE(C12:F12)*10,1))</f>
        <v/>
      </c>
      <c r="H12" s="23" t="str">
        <f aca="false">IF(G12="","",IF(G12&gt;=80,"CRITICAL",IF(G12&gt;=65,"HIGH",IF(G12&gt;=45,"MEDIUM","LOW"))))</f>
        <v/>
      </c>
      <c r="I12" s="23"/>
      <c r="J12" s="23"/>
      <c r="K12" s="23"/>
    </row>
    <row r="13" customFormat="false" ht="15" hidden="false" customHeight="true" outlineLevel="0" collapsed="false">
      <c r="A13" s="22"/>
      <c r="B13" s="22"/>
      <c r="C13" s="22"/>
      <c r="D13" s="22"/>
      <c r="E13" s="22"/>
      <c r="F13" s="22"/>
      <c r="G13" s="22" t="str">
        <f aca="false">IF(C13="","",ROUND(AVERAGE(C13:F13)*10,1))</f>
        <v/>
      </c>
      <c r="H13" s="22" t="str">
        <f aca="false">IF(G13="","",IF(G13&gt;=80,"CRITICAL",IF(G13&gt;=65,"HIGH",IF(G13&gt;=45,"MEDIUM","LOW"))))</f>
        <v/>
      </c>
      <c r="I13" s="22"/>
      <c r="J13" s="22"/>
      <c r="K13" s="22"/>
    </row>
    <row r="14" customFormat="false" ht="15" hidden="false" customHeight="true" outlineLevel="0" collapsed="false">
      <c r="A14" s="23"/>
      <c r="B14" s="23"/>
      <c r="C14" s="23"/>
      <c r="D14" s="23"/>
      <c r="E14" s="23"/>
      <c r="F14" s="23"/>
      <c r="G14" s="23" t="str">
        <f aca="false">IF(C14="","",ROUND(AVERAGE(C14:F14)*10,1))</f>
        <v/>
      </c>
      <c r="H14" s="23" t="str">
        <f aca="false">IF(G14="","",IF(G14&gt;=80,"CRITICAL",IF(G14&gt;=65,"HIGH",IF(G14&gt;=45,"MEDIUM","LOW"))))</f>
        <v/>
      </c>
      <c r="I14" s="23"/>
      <c r="J14" s="23"/>
      <c r="K14" s="23"/>
    </row>
    <row r="15" customFormat="false" ht="15" hidden="false" customHeight="true" outlineLevel="0" collapsed="false">
      <c r="A15" s="22"/>
      <c r="B15" s="22"/>
      <c r="C15" s="22"/>
      <c r="D15" s="22"/>
      <c r="E15" s="22"/>
      <c r="F15" s="22"/>
      <c r="G15" s="22" t="str">
        <f aca="false">IF(C15="","",ROUND(AVERAGE(C15:F15)*10,1))</f>
        <v/>
      </c>
      <c r="H15" s="22" t="str">
        <f aca="false">IF(G15="","",IF(G15&gt;=80,"CRITICAL",IF(G15&gt;=65,"HIGH",IF(G15&gt;=45,"MEDIUM","LOW"))))</f>
        <v/>
      </c>
      <c r="I15" s="22"/>
      <c r="J15" s="22"/>
      <c r="K15" s="22"/>
    </row>
    <row r="16" customFormat="false" ht="15" hidden="false" customHeight="true" outlineLevel="0" collapsed="false">
      <c r="A16" s="23"/>
      <c r="B16" s="23"/>
      <c r="C16" s="23"/>
      <c r="D16" s="23"/>
      <c r="E16" s="23"/>
      <c r="F16" s="23"/>
      <c r="G16" s="23" t="str">
        <f aca="false">IF(C16="","",ROUND(AVERAGE(C16:F16)*10,1))</f>
        <v/>
      </c>
      <c r="H16" s="23" t="str">
        <f aca="false">IF(G16="","",IF(G16&gt;=80,"CRITICAL",IF(G16&gt;=65,"HIGH",IF(G16&gt;=45,"MEDIUM","LOW"))))</f>
        <v/>
      </c>
      <c r="I16" s="23"/>
      <c r="J16" s="23"/>
      <c r="K16" s="23"/>
    </row>
    <row r="17" customFormat="false" ht="15" hidden="false" customHeight="true" outlineLevel="0" collapsed="false">
      <c r="A17" s="22"/>
      <c r="B17" s="22"/>
      <c r="C17" s="22"/>
      <c r="D17" s="22"/>
      <c r="E17" s="22"/>
      <c r="F17" s="22"/>
      <c r="G17" s="22" t="str">
        <f aca="false">IF(C17="","",ROUND(AVERAGE(C17:F17)*10,1))</f>
        <v/>
      </c>
      <c r="H17" s="22" t="str">
        <f aca="false">IF(G17="","",IF(G17&gt;=80,"CRITICAL",IF(G17&gt;=65,"HIGH",IF(G17&gt;=45,"MEDIUM","LOW"))))</f>
        <v/>
      </c>
      <c r="I17" s="22"/>
      <c r="J17" s="22"/>
      <c r="K17" s="22"/>
    </row>
    <row r="18" customFormat="false" ht="15" hidden="false" customHeight="true" outlineLevel="0" collapsed="false">
      <c r="A18" s="23"/>
      <c r="B18" s="23"/>
      <c r="C18" s="23"/>
      <c r="D18" s="23"/>
      <c r="E18" s="23"/>
      <c r="F18" s="23"/>
      <c r="G18" s="23" t="str">
        <f aca="false">IF(C18="","",ROUND(AVERAGE(C18:F18)*10,1))</f>
        <v/>
      </c>
      <c r="H18" s="23" t="str">
        <f aca="false">IF(G18="","",IF(G18&gt;=80,"CRITICAL",IF(G18&gt;=65,"HIGH",IF(G18&gt;=45,"MEDIUM","LOW"))))</f>
        <v/>
      </c>
      <c r="I18" s="23"/>
      <c r="J18" s="23"/>
      <c r="K18" s="23"/>
    </row>
    <row r="19" customFormat="false" ht="15" hidden="false" customHeight="true" outlineLevel="0" collapsed="false">
      <c r="A19" s="22"/>
      <c r="B19" s="22"/>
      <c r="C19" s="22"/>
      <c r="D19" s="22"/>
      <c r="E19" s="22"/>
      <c r="F19" s="22"/>
      <c r="G19" s="22" t="str">
        <f aca="false">IF(C19="","",ROUND(AVERAGE(C19:F19)*10,1))</f>
        <v/>
      </c>
      <c r="H19" s="22" t="str">
        <f aca="false">IF(G19="","",IF(G19&gt;=80,"CRITICAL",IF(G19&gt;=65,"HIGH",IF(G19&gt;=45,"MEDIUM","LOW"))))</f>
        <v/>
      </c>
      <c r="I19" s="22"/>
      <c r="J19" s="22"/>
      <c r="K19" s="22"/>
    </row>
    <row r="20" customFormat="false" ht="15" hidden="false" customHeight="true" outlineLevel="0" collapsed="false">
      <c r="A20" s="23"/>
      <c r="B20" s="23"/>
      <c r="C20" s="23"/>
      <c r="D20" s="23"/>
      <c r="E20" s="23"/>
      <c r="F20" s="23"/>
      <c r="G20" s="23" t="str">
        <f aca="false">IF(C20="","",ROUND(AVERAGE(C20:F20)*10,1))</f>
        <v/>
      </c>
      <c r="H20" s="23" t="str">
        <f aca="false">IF(G20="","",IF(G20&gt;=80,"CRITICAL",IF(G20&gt;=65,"HIGH",IF(G20&gt;=45,"MEDIUM","LOW"))))</f>
        <v/>
      </c>
      <c r="I20" s="23"/>
      <c r="J20" s="23"/>
      <c r="K20" s="23"/>
    </row>
    <row r="21" customFormat="false" ht="15" hidden="false" customHeight="true" outlineLevel="0" collapsed="false">
      <c r="A21" s="22"/>
      <c r="B21" s="22"/>
      <c r="C21" s="22"/>
      <c r="D21" s="22"/>
      <c r="E21" s="22"/>
      <c r="F21" s="22"/>
      <c r="G21" s="22" t="str">
        <f aca="false">IF(C21="","",ROUND(AVERAGE(C21:F21)*10,1))</f>
        <v/>
      </c>
      <c r="H21" s="22" t="str">
        <f aca="false">IF(G21="","",IF(G21&gt;=80,"CRITICAL",IF(G21&gt;=65,"HIGH",IF(G21&gt;=45,"MEDIUM","LOW"))))</f>
        <v/>
      </c>
      <c r="I21" s="22"/>
      <c r="J21" s="22"/>
      <c r="K21" s="22"/>
    </row>
    <row r="22" customFormat="false" ht="15" hidden="false" customHeight="true" outlineLevel="0" collapsed="false">
      <c r="A22" s="23"/>
      <c r="B22" s="23"/>
      <c r="C22" s="23"/>
      <c r="D22" s="23"/>
      <c r="E22" s="23"/>
      <c r="F22" s="23"/>
      <c r="G22" s="23" t="str">
        <f aca="false">IF(C22="","",ROUND(AVERAGE(C22:F22)*10,1))</f>
        <v/>
      </c>
      <c r="H22" s="23" t="str">
        <f aca="false">IF(G22="","",IF(G22&gt;=80,"CRITICAL",IF(G22&gt;=65,"HIGH",IF(G22&gt;=45,"MEDIUM","LOW"))))</f>
        <v/>
      </c>
      <c r="I22" s="23"/>
      <c r="J22" s="23"/>
      <c r="K22" s="23"/>
    </row>
    <row r="23" customFormat="false" ht="15" hidden="false" customHeight="true" outlineLevel="0" collapsed="false">
      <c r="A23" s="22"/>
      <c r="B23" s="22"/>
      <c r="C23" s="22"/>
      <c r="D23" s="22"/>
      <c r="E23" s="22"/>
      <c r="F23" s="22"/>
      <c r="G23" s="22" t="str">
        <f aca="false">IF(C23="","",ROUND(AVERAGE(C23:F23)*10,1))</f>
        <v/>
      </c>
      <c r="H23" s="22" t="str">
        <f aca="false">IF(G23="","",IF(G23&gt;=80,"CRITICAL",IF(G23&gt;=65,"HIGH",IF(G23&gt;=45,"MEDIUM","LOW"))))</f>
        <v/>
      </c>
      <c r="I23" s="22"/>
      <c r="J23" s="22"/>
      <c r="K23" s="22"/>
    </row>
    <row r="24" customFormat="false" ht="15" hidden="false" customHeight="true" outlineLevel="0" collapsed="false">
      <c r="A24" s="23"/>
      <c r="B24" s="23"/>
      <c r="C24" s="23"/>
      <c r="D24" s="23"/>
      <c r="E24" s="23"/>
      <c r="F24" s="23"/>
      <c r="G24" s="23" t="str">
        <f aca="false">IF(C24="","",ROUND(AVERAGE(C24:F24)*10,1))</f>
        <v/>
      </c>
      <c r="H24" s="23" t="str">
        <f aca="false">IF(G24="","",IF(G24&gt;=80,"CRITICAL",IF(G24&gt;=65,"HIGH",IF(G24&gt;=45,"MEDIUM","LOW"))))</f>
        <v/>
      </c>
      <c r="I24" s="23"/>
      <c r="J24" s="23"/>
      <c r="K24" s="2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30"/>
    <col collapsed="false" customWidth="true" hidden="false" outlineLevel="0" max="3" min="3" style="1" width="40"/>
    <col collapsed="false" customWidth="true" hidden="false" outlineLevel="0" max="7" min="4" style="1" width="30"/>
    <col collapsed="false" customWidth="true" hidden="false" outlineLevel="0" max="8" min="8" style="1" width="50"/>
  </cols>
  <sheetData>
    <row r="1" customFormat="false" ht="36" hidden="false" customHeight="true" outlineLevel="0" collapsed="false">
      <c r="A1" s="21" t="s">
        <v>162</v>
      </c>
      <c r="B1" s="21" t="s">
        <v>163</v>
      </c>
      <c r="C1" s="21" t="s">
        <v>164</v>
      </c>
      <c r="D1" s="21" t="s">
        <v>165</v>
      </c>
      <c r="E1" s="21" t="s">
        <v>166</v>
      </c>
      <c r="F1" s="21" t="s">
        <v>167</v>
      </c>
      <c r="G1" s="21" t="s">
        <v>168</v>
      </c>
      <c r="H1" s="21" t="s">
        <v>169</v>
      </c>
    </row>
    <row r="2" customFormat="false" ht="79.5" hidden="false" customHeight="true" outlineLevel="0" collapsed="false">
      <c r="A2" s="13" t="s">
        <v>170</v>
      </c>
      <c r="B2" s="13" t="s">
        <v>171</v>
      </c>
      <c r="C2" s="13" t="s">
        <v>172</v>
      </c>
      <c r="D2" s="13" t="s">
        <v>173</v>
      </c>
      <c r="E2" s="13" t="s">
        <v>174</v>
      </c>
      <c r="F2" s="13" t="s">
        <v>175</v>
      </c>
      <c r="G2" s="13" t="s">
        <v>176</v>
      </c>
      <c r="H2" s="13" t="s">
        <v>177</v>
      </c>
    </row>
    <row r="5" customFormat="false" ht="60" hidden="false" customHeight="true" outlineLevel="0" collapsed="false">
      <c r="A5" s="22"/>
      <c r="B5" s="22"/>
      <c r="C5" s="22"/>
      <c r="D5" s="22"/>
      <c r="E5" s="22"/>
      <c r="F5" s="22"/>
      <c r="G5" s="22"/>
      <c r="H5" s="22"/>
    </row>
    <row r="6" customFormat="false" ht="60" hidden="false" customHeight="true" outlineLevel="0" collapsed="false">
      <c r="A6" s="23"/>
      <c r="B6" s="23"/>
      <c r="C6" s="23"/>
      <c r="D6" s="23"/>
      <c r="E6" s="23"/>
      <c r="F6" s="23"/>
      <c r="G6" s="23"/>
      <c r="H6" s="23"/>
    </row>
    <row r="7" customFormat="false" ht="60" hidden="false" customHeight="true" outlineLevel="0" collapsed="false">
      <c r="A7" s="22"/>
      <c r="B7" s="22"/>
      <c r="C7" s="22"/>
      <c r="D7" s="22"/>
      <c r="E7" s="22"/>
      <c r="F7" s="22"/>
      <c r="G7" s="22"/>
      <c r="H7" s="22"/>
    </row>
    <row r="8" customFormat="false" ht="60" hidden="false" customHeight="true" outlineLevel="0" collapsed="false">
      <c r="A8" s="23"/>
      <c r="B8" s="23"/>
      <c r="C8" s="23"/>
      <c r="D8" s="23"/>
      <c r="E8" s="23"/>
      <c r="F8" s="23"/>
      <c r="G8" s="23"/>
      <c r="H8" s="23"/>
    </row>
    <row r="9" customFormat="false" ht="60" hidden="false" customHeight="true" outlineLevel="0" collapsed="false">
      <c r="A9" s="22"/>
      <c r="B9" s="22"/>
      <c r="C9" s="22"/>
      <c r="D9" s="22"/>
      <c r="E9" s="22"/>
      <c r="F9" s="22"/>
      <c r="G9" s="22"/>
      <c r="H9" s="22"/>
    </row>
    <row r="10" customFormat="false" ht="60" hidden="false" customHeight="true" outlineLevel="0" collapsed="false">
      <c r="A10" s="23"/>
      <c r="B10" s="23"/>
      <c r="C10" s="23"/>
      <c r="D10" s="23"/>
      <c r="E10" s="23"/>
      <c r="F10" s="23"/>
      <c r="G10" s="23"/>
      <c r="H10" s="23"/>
    </row>
    <row r="11" customFormat="false" ht="60" hidden="false" customHeight="true" outlineLevel="0" collapsed="false">
      <c r="A11" s="22"/>
      <c r="B11" s="22"/>
      <c r="C11" s="22"/>
      <c r="D11" s="22"/>
      <c r="E11" s="22"/>
      <c r="F11" s="22"/>
      <c r="G11" s="22"/>
      <c r="H11" s="22"/>
    </row>
    <row r="12" customFormat="false" ht="60" hidden="false" customHeight="true" outlineLevel="0" collapsed="false">
      <c r="A12" s="23"/>
      <c r="B12" s="23"/>
      <c r="C12" s="23"/>
      <c r="D12" s="23"/>
      <c r="E12" s="23"/>
      <c r="F12" s="23"/>
      <c r="G12" s="23"/>
      <c r="H12" s="23"/>
    </row>
    <row r="13" customFormat="false" ht="60" hidden="false" customHeight="true" outlineLevel="0" collapsed="false">
      <c r="A13" s="22"/>
      <c r="B13" s="22"/>
      <c r="C13" s="22"/>
      <c r="D13" s="22"/>
      <c r="E13" s="22"/>
      <c r="F13" s="22"/>
      <c r="G13" s="22"/>
      <c r="H13" s="22"/>
    </row>
    <row r="14" customFormat="false" ht="60" hidden="false" customHeight="true" outlineLevel="0" collapsed="false">
      <c r="A14" s="23"/>
      <c r="B14" s="23"/>
      <c r="C14" s="23"/>
      <c r="D14" s="23"/>
      <c r="E14" s="23"/>
      <c r="F14" s="23"/>
      <c r="G14" s="23"/>
      <c r="H14" s="23"/>
    </row>
    <row r="15" customFormat="false" ht="60" hidden="false" customHeight="true" outlineLevel="0" collapsed="false">
      <c r="A15" s="22"/>
      <c r="B15" s="22"/>
      <c r="C15" s="22"/>
      <c r="D15" s="22"/>
      <c r="E15" s="22"/>
      <c r="F15" s="22"/>
      <c r="G15" s="22"/>
      <c r="H15" s="22"/>
    </row>
    <row r="16" customFormat="false" ht="60" hidden="false" customHeight="true" outlineLevel="0" collapsed="false">
      <c r="A16" s="23"/>
      <c r="B16" s="23"/>
      <c r="C16" s="23"/>
      <c r="D16" s="23"/>
      <c r="E16" s="23"/>
      <c r="F16" s="23"/>
      <c r="G16" s="23"/>
      <c r="H16" s="23"/>
    </row>
    <row r="17" customFormat="false" ht="60" hidden="false" customHeight="true" outlineLevel="0" collapsed="false">
      <c r="A17" s="22"/>
      <c r="B17" s="22"/>
      <c r="C17" s="22"/>
      <c r="D17" s="22"/>
      <c r="E17" s="22"/>
      <c r="F17" s="22"/>
      <c r="G17" s="22"/>
      <c r="H17" s="22"/>
    </row>
    <row r="18" customFormat="false" ht="60" hidden="false" customHeight="true" outlineLevel="0" collapsed="false">
      <c r="A18" s="23"/>
      <c r="B18" s="23"/>
      <c r="C18" s="23"/>
      <c r="D18" s="23"/>
      <c r="E18" s="23"/>
      <c r="F18" s="23"/>
      <c r="G18" s="23"/>
      <c r="H18" s="23"/>
    </row>
    <row r="19" customFormat="false" ht="60" hidden="false" customHeight="true" outlineLevel="0" collapsed="false">
      <c r="A19" s="22"/>
      <c r="B19" s="22"/>
      <c r="C19" s="22"/>
      <c r="D19" s="22"/>
      <c r="E19" s="22"/>
      <c r="F19" s="22"/>
      <c r="G19" s="22"/>
      <c r="H19" s="22"/>
    </row>
    <row r="20" customFormat="false" ht="60" hidden="false" customHeight="true" outlineLevel="0" collapsed="false">
      <c r="A20" s="23"/>
      <c r="B20" s="23"/>
      <c r="C20" s="23"/>
      <c r="D20" s="23"/>
      <c r="E20" s="23"/>
      <c r="F20" s="23"/>
      <c r="G20" s="23"/>
      <c r="H20" s="23"/>
    </row>
    <row r="21" customFormat="false" ht="60" hidden="false" customHeight="true" outlineLevel="0" collapsed="false">
      <c r="A21" s="22"/>
      <c r="B21" s="22"/>
      <c r="C21" s="22"/>
      <c r="D21" s="22"/>
      <c r="E21" s="22"/>
      <c r="F21" s="22"/>
      <c r="G21" s="22"/>
      <c r="H21" s="22"/>
    </row>
    <row r="22" customFormat="false" ht="60" hidden="false" customHeight="true" outlineLevel="0" collapsed="false">
      <c r="A22" s="23"/>
      <c r="B22" s="23"/>
      <c r="C22" s="23"/>
      <c r="D22" s="23"/>
      <c r="E22" s="23"/>
      <c r="F22" s="23"/>
      <c r="G22" s="23"/>
      <c r="H22" s="2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2026-06-12T06:16:44Z</dcterms:created>
  <dc:creator>openpyxl</dc:creator>
  <dc:description/>
  <dc:language>en-US</dc:language>
  <cp:lastModifiedBy/>
  <dcterms:modified xsi:type="dcterms:W3CDTF">2026-06-12T06:17:02Z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